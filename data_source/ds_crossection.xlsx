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https://d.docs.live.net/8e6f597391b3133a/Desktop/UNI/Magistrale/Anno 1/F^0PA/Progetto/"/>
    </mc:Choice>
  </mc:AlternateContent>
  <xr:revisionPtr revIDLastSave="366" documentId="8_{D34CDFED-84C1-4813-91CF-AF892FCC87E7}" xr6:coauthVersionLast="47" xr6:coauthVersionMax="47" xr10:uidLastSave="{CD6A35AB-9FBD-4C2C-9CF8-E0B430546448}"/>
  <bookViews>
    <workbookView xWindow="-108" yWindow="-108" windowWidth="23256" windowHeight="12456" xr2:uid="{00000000-000D-0000-FFFF-FFFF00000000}"/>
  </bookViews>
  <sheets>
    <sheet name="DATA" sheetId="66" r:id="rId1"/>
    <sheet name="INDEX " sheetId="68" r:id="rId2"/>
  </sheets>
  <definedNames>
    <definedName name="_xlnm._FilterDatabase" localSheetId="0" hidden="1">DATA!$A$1:$AE$232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 i="68" l="1"/>
</calcChain>
</file>

<file path=xl/sharedStrings.xml><?xml version="1.0" encoding="utf-8"?>
<sst xmlns="http://schemas.openxmlformats.org/spreadsheetml/2006/main" count="714" uniqueCount="448">
  <si>
    <t>COUNTRY_YEAR</t>
  </si>
  <si>
    <t>POPULATION</t>
  </si>
  <si>
    <t>MARRIAGE</t>
  </si>
  <si>
    <t>FERTILITY</t>
  </si>
  <si>
    <t>FOREIGN</t>
  </si>
  <si>
    <t>DENSITY</t>
  </si>
  <si>
    <t>IMPORT</t>
  </si>
  <si>
    <t>EXPORT</t>
  </si>
  <si>
    <t>HDI</t>
  </si>
  <si>
    <t>EXPECTED YEARS OF SCHOOLING</t>
  </si>
  <si>
    <t>MEAN YEARS OF SCHOOLING</t>
  </si>
  <si>
    <t>GROSS NATIONAL INCOME PER CAPITA</t>
  </si>
  <si>
    <t>GENDER DEVELOPMENT INDEX</t>
  </si>
  <si>
    <t>GENDER INEQUALITY INDEX</t>
  </si>
  <si>
    <t>MATERNAL MORTALITY RATIO</t>
  </si>
  <si>
    <t>ADOLESCENT BIRTH RATIO</t>
  </si>
  <si>
    <t>CO2 PRODUCTION PER CAPITA</t>
  </si>
  <si>
    <t>MATERIAL FOOTPRINT PER CAPITA</t>
  </si>
  <si>
    <t>Austria_2014</t>
  </si>
  <si>
    <t>Belgium_2014</t>
  </si>
  <si>
    <t>Bulgaria_2014</t>
  </si>
  <si>
    <t>Croatia_2014</t>
  </si>
  <si>
    <t>CzechRepublic_2014</t>
  </si>
  <si>
    <t>Denmark_2014</t>
  </si>
  <si>
    <t>Estonia_2014</t>
  </si>
  <si>
    <t>Finland_2014</t>
  </si>
  <si>
    <t>France_2014</t>
  </si>
  <si>
    <t>Germany_2014</t>
  </si>
  <si>
    <t>Greece_2014</t>
  </si>
  <si>
    <t>Hungary_2014</t>
  </si>
  <si>
    <t>Iceland_2014</t>
  </si>
  <si>
    <t>Ireland_2014</t>
  </si>
  <si>
    <t>Italy_2014</t>
  </si>
  <si>
    <t>Latvia_2014</t>
  </si>
  <si>
    <t>Lithuania_2014</t>
  </si>
  <si>
    <t>Luxembourg_2014</t>
  </si>
  <si>
    <t>Netherlands_2014</t>
  </si>
  <si>
    <t>Norway_2014</t>
  </si>
  <si>
    <t>Poland_2014</t>
  </si>
  <si>
    <t>Portugal_2014</t>
  </si>
  <si>
    <t>Romania_2014</t>
  </si>
  <si>
    <t>Slovakia_2014</t>
  </si>
  <si>
    <t>Slovenia_2014</t>
  </si>
  <si>
    <t>Spain_2014</t>
  </si>
  <si>
    <t>Sweden_2014</t>
  </si>
  <si>
    <t>Switzerland_2014</t>
  </si>
  <si>
    <t>UK_2014</t>
  </si>
  <si>
    <t>Austria_2015</t>
  </si>
  <si>
    <t>Belgium_2015</t>
  </si>
  <si>
    <t>Bulgaria_2015</t>
  </si>
  <si>
    <t>Croatia_2015</t>
  </si>
  <si>
    <t>CzechRepublic_2015</t>
  </si>
  <si>
    <t>Denmark_2015</t>
  </si>
  <si>
    <t>Estonia_2015</t>
  </si>
  <si>
    <t>Finland_2015</t>
  </si>
  <si>
    <t>France_2015</t>
  </si>
  <si>
    <t>Germany_2015</t>
  </si>
  <si>
    <t>Greece_2015</t>
  </si>
  <si>
    <t>Hungary_2015</t>
  </si>
  <si>
    <t>Iceland_2015</t>
  </si>
  <si>
    <t>Ireland_2015</t>
  </si>
  <si>
    <t>Italy_2015</t>
  </si>
  <si>
    <t>Latvia_2015</t>
  </si>
  <si>
    <t>Lithuania_2015</t>
  </si>
  <si>
    <t>Luxembourg_2015</t>
  </si>
  <si>
    <t>Netherlands_2015</t>
  </si>
  <si>
    <t>Norway_2015</t>
  </si>
  <si>
    <t>Poland_2015</t>
  </si>
  <si>
    <t>Portugal_2015</t>
  </si>
  <si>
    <t>Romania_2015</t>
  </si>
  <si>
    <t>Slovakia_2015</t>
  </si>
  <si>
    <t>Slovenia_2015</t>
  </si>
  <si>
    <t>Spain_2015</t>
  </si>
  <si>
    <t>Sweden_2015</t>
  </si>
  <si>
    <t>Switzerland_2015</t>
  </si>
  <si>
    <t>UK_2015</t>
  </si>
  <si>
    <t>Austria_2016</t>
  </si>
  <si>
    <t>Belgium_2016</t>
  </si>
  <si>
    <t>Bulgaria_2016</t>
  </si>
  <si>
    <t>Croatia_2016</t>
  </si>
  <si>
    <t>CzechRepublic_2016</t>
  </si>
  <si>
    <t>Denmark_2016</t>
  </si>
  <si>
    <t>Estonia_2016</t>
  </si>
  <si>
    <t>Finland_2016</t>
  </si>
  <si>
    <t>France_2016</t>
  </si>
  <si>
    <t>Germany_2016</t>
  </si>
  <si>
    <t>Greece_2016</t>
  </si>
  <si>
    <t>Hungary_2016</t>
  </si>
  <si>
    <t>Iceland_2016</t>
  </si>
  <si>
    <t>Ireland_2016</t>
  </si>
  <si>
    <t>Italy_2016</t>
  </si>
  <si>
    <t>Latvia_2016</t>
  </si>
  <si>
    <t>Lithuania_2016</t>
  </si>
  <si>
    <t>Luxembourg_2016</t>
  </si>
  <si>
    <t>Netherlands_2016</t>
  </si>
  <si>
    <t>Norway_2016</t>
  </si>
  <si>
    <t>Poland_2016</t>
  </si>
  <si>
    <t>Portugal_2016</t>
  </si>
  <si>
    <t>Romania_2016</t>
  </si>
  <si>
    <t>Slovakia_2016</t>
  </si>
  <si>
    <t>Slovenia_2016</t>
  </si>
  <si>
    <t>Spain_2016</t>
  </si>
  <si>
    <t>Sweden_2016</t>
  </si>
  <si>
    <t>Switzerland_2016</t>
  </si>
  <si>
    <t>UK_2016</t>
  </si>
  <si>
    <t>Austria_2017</t>
  </si>
  <si>
    <t>Belgium_2017</t>
  </si>
  <si>
    <t>Bulgaria_2017</t>
  </si>
  <si>
    <t>Croatia_2017</t>
  </si>
  <si>
    <t>CzechRepublic_2017</t>
  </si>
  <si>
    <t>Denmark_2017</t>
  </si>
  <si>
    <t>Estonia_2017</t>
  </si>
  <si>
    <t>Finland_2017</t>
  </si>
  <si>
    <t>France_2017</t>
  </si>
  <si>
    <t>Germany_2017</t>
  </si>
  <si>
    <t>Greece_2017</t>
  </si>
  <si>
    <t>Hungary_2017</t>
  </si>
  <si>
    <t>Iceland_2017</t>
  </si>
  <si>
    <t>Ireland_2017</t>
  </si>
  <si>
    <t>Italy_2017</t>
  </si>
  <si>
    <t>Latvia_2017</t>
  </si>
  <si>
    <t>Lithuania_2017</t>
  </si>
  <si>
    <t>Luxembourg_2017</t>
  </si>
  <si>
    <t>Netherlands_2017</t>
  </si>
  <si>
    <t>Norway_2017</t>
  </si>
  <si>
    <t>Poland_2017</t>
  </si>
  <si>
    <t>Portugal_2017</t>
  </si>
  <si>
    <t>Romania_2017</t>
  </si>
  <si>
    <t>Slovakia_2017</t>
  </si>
  <si>
    <t>Slovenia_2017</t>
  </si>
  <si>
    <t>Spain_2017</t>
  </si>
  <si>
    <t>Sweden_2017</t>
  </si>
  <si>
    <t>Switzerland_2017</t>
  </si>
  <si>
    <t>UK_2017</t>
  </si>
  <si>
    <t>Austria_2018</t>
  </si>
  <si>
    <t>Belgium_2018</t>
  </si>
  <si>
    <t>Bulgaria_2018</t>
  </si>
  <si>
    <t>Croatia_2018</t>
  </si>
  <si>
    <t>CzechRepublic_2018</t>
  </si>
  <si>
    <t>Denmark_2018</t>
  </si>
  <si>
    <t>Estonia_2018</t>
  </si>
  <si>
    <t>Finland_2018</t>
  </si>
  <si>
    <t>France_2018</t>
  </si>
  <si>
    <t>Germany_2018</t>
  </si>
  <si>
    <t>Greece_2018</t>
  </si>
  <si>
    <t>Hungary_2018</t>
  </si>
  <si>
    <t>Iceland_2018</t>
  </si>
  <si>
    <t>Ireland_2018</t>
  </si>
  <si>
    <t>Italy_2018</t>
  </si>
  <si>
    <t>Latvia_2018</t>
  </si>
  <si>
    <t>Lithuania_2018</t>
  </si>
  <si>
    <t>Luxembourg_2018</t>
  </si>
  <si>
    <t>Netherlands_2018</t>
  </si>
  <si>
    <t>Norway_2018</t>
  </si>
  <si>
    <t>Poland_2018</t>
  </si>
  <si>
    <t>Portugal_2018</t>
  </si>
  <si>
    <t>Romania_2018</t>
  </si>
  <si>
    <t>Slovakia_2018</t>
  </si>
  <si>
    <t>Slovenia_2018</t>
  </si>
  <si>
    <t>Spain_2018</t>
  </si>
  <si>
    <t>Sweden_2018</t>
  </si>
  <si>
    <t>Switzerland_2018</t>
  </si>
  <si>
    <t>UK_2018</t>
  </si>
  <si>
    <t>Austria_2019</t>
  </si>
  <si>
    <t>Belgium_2019</t>
  </si>
  <si>
    <t>Bulgaria_2019</t>
  </si>
  <si>
    <t>Croatia_2019</t>
  </si>
  <si>
    <t>CzechRepublic_2019</t>
  </si>
  <si>
    <t>Denmark_2019</t>
  </si>
  <si>
    <t>Estonia_2019</t>
  </si>
  <si>
    <t>Finland_2019</t>
  </si>
  <si>
    <t>France_2019</t>
  </si>
  <si>
    <t>Germany_2019</t>
  </si>
  <si>
    <t>Greece_2019</t>
  </si>
  <si>
    <t>Hungary_2019</t>
  </si>
  <si>
    <t>Iceland_2019</t>
  </si>
  <si>
    <t>Ireland_2019</t>
  </si>
  <si>
    <t>Italy_2019</t>
  </si>
  <si>
    <t>Latvia_2019</t>
  </si>
  <si>
    <t>Lithuania_2019</t>
  </si>
  <si>
    <t>Luxembourg_2019</t>
  </si>
  <si>
    <t>Netherlands_2019</t>
  </si>
  <si>
    <t>Norway_2019</t>
  </si>
  <si>
    <t>Poland_2019</t>
  </si>
  <si>
    <t>Portugal_2019</t>
  </si>
  <si>
    <t>Romania_2019</t>
  </si>
  <si>
    <t>Slovakia_2019</t>
  </si>
  <si>
    <t>Slovenia_2019</t>
  </si>
  <si>
    <t>Spain_2019</t>
  </si>
  <si>
    <t>Sweden_2019</t>
  </si>
  <si>
    <t>Switzerland_2019</t>
  </si>
  <si>
    <t>UK_2019</t>
  </si>
  <si>
    <t>Austria_2020</t>
  </si>
  <si>
    <t>Belgium_2020</t>
  </si>
  <si>
    <t>Bulgaria_2020</t>
  </si>
  <si>
    <t>Croatia_2020</t>
  </si>
  <si>
    <t>CzechRepublic_2020</t>
  </si>
  <si>
    <t>Denmark_2020</t>
  </si>
  <si>
    <t>Estonia_2020</t>
  </si>
  <si>
    <t>Finland_2020</t>
  </si>
  <si>
    <t>France_2020</t>
  </si>
  <si>
    <t>Germany_2020</t>
  </si>
  <si>
    <t>Greece_2020</t>
  </si>
  <si>
    <t>Hungary_2020</t>
  </si>
  <si>
    <t>Iceland_2020</t>
  </si>
  <si>
    <t>Ireland_2020</t>
  </si>
  <si>
    <t>Italy_2020</t>
  </si>
  <si>
    <t>Latvia_2020</t>
  </si>
  <si>
    <t>Lithuania_2020</t>
  </si>
  <si>
    <t>Luxembourg_2020</t>
  </si>
  <si>
    <t>Netherlands_2020</t>
  </si>
  <si>
    <t>Norway_2020</t>
  </si>
  <si>
    <t>Poland_2020</t>
  </si>
  <si>
    <t>Portugal_2020</t>
  </si>
  <si>
    <t>Romania_2020</t>
  </si>
  <si>
    <t>Slovakia_2020</t>
  </si>
  <si>
    <t>Slovenia_2020</t>
  </si>
  <si>
    <t>Spain_2020</t>
  </si>
  <si>
    <t>Sweden_2020</t>
  </si>
  <si>
    <t>Switzerland_2020</t>
  </si>
  <si>
    <t>Austria_2021</t>
  </si>
  <si>
    <t>Belgium_2021</t>
  </si>
  <si>
    <t>Bulgaria_2021</t>
  </si>
  <si>
    <t>Croatia_2021</t>
  </si>
  <si>
    <t>CzechRepublic_2021</t>
  </si>
  <si>
    <t>Denmark_2021</t>
  </si>
  <si>
    <t>Estonia_2021</t>
  </si>
  <si>
    <t>Finland_2021</t>
  </si>
  <si>
    <t>France_2021</t>
  </si>
  <si>
    <t>Germany_2021</t>
  </si>
  <si>
    <t>Greece_2021</t>
  </si>
  <si>
    <t>Hungary_2021</t>
  </si>
  <si>
    <t>Iceland_2021</t>
  </si>
  <si>
    <t>Ireland_2021</t>
  </si>
  <si>
    <t>Italy_2021</t>
  </si>
  <si>
    <t>Latvia_2021</t>
  </si>
  <si>
    <t>Lithuania_2021</t>
  </si>
  <si>
    <t>Luxembourg_2021</t>
  </si>
  <si>
    <t>Netherlands_2021</t>
  </si>
  <si>
    <t>Norway_2021</t>
  </si>
  <si>
    <t>Poland_2021</t>
  </si>
  <si>
    <t>Portugal_2021</t>
  </si>
  <si>
    <t>Romania_2021</t>
  </si>
  <si>
    <t>Slovakia_2021</t>
  </si>
  <si>
    <t>Slovenia_2021</t>
  </si>
  <si>
    <t>Spain_2021</t>
  </si>
  <si>
    <t>Sweden_2021</t>
  </si>
  <si>
    <t>Switzerland_2021</t>
  </si>
  <si>
    <t>Consumer Price (Growth)</t>
  </si>
  <si>
    <t>https://data-explorer.oecd.org/vis?lc=en&amp;fs[0]=Topic%2C1%7CEconomy%23ECO%23%7CShort-term%20economic%20statistics%23ECO_STS%23&amp;pg=0&amp;fc=Topic&amp;bp=true&amp;snb=21&amp;df[ds]=dsDisseminateFinalDMZ&amp;df[id]=DSD_KEI%40DF_KEI&amp;df[ag]=OECD.SDD.STES&amp;df[vs]=4.0&amp;pd=2014%2C2021&amp;dq=.A.CP.GR%2BIX._Z..&amp;ly[rw]=REF_AREA&amp;ly[cl]=TIME_PERIOD&amp;to[TIME_PERIOD]=false&amp;vw=tb</t>
  </si>
  <si>
    <t>.</t>
  </si>
  <si>
    <t xml:space="preserve">Description: </t>
  </si>
  <si>
    <t>Time frequency</t>
  </si>
  <si>
    <t>Annual</t>
  </si>
  <si>
    <t>National accounts indicator (ESA 2010)</t>
  </si>
  <si>
    <t>Unit of measure</t>
  </si>
  <si>
    <t>Rate (%)</t>
  </si>
  <si>
    <t>Monthly Unemployment Rate</t>
  </si>
  <si>
    <t>Population on 1 January [tps00001]</t>
  </si>
  <si>
    <t>Open product page</t>
  </si>
  <si>
    <t>Open in Data Browser</t>
  </si>
  <si>
    <t>The number of persons having their usual residence in a country on 1 January of the respective year. When usually resident population is not available, countries may report legal or registered residents.</t>
  </si>
  <si>
    <t>Gross domestic product at market prices [tec00001]</t>
  </si>
  <si>
    <t xml:space="preserve">GDP (gross domestic product) is an indicator for a nation´s economic situation. It reflects the total value of all goods and services produced less the value of goods and services used for intermediate consumption in their production. Expressing GDP in PPS (purchasing power standards) eliminates differences in price levels between countries, and calculations on a per head basis allows for the comparison of economies significantly different in absolute size. </t>
  </si>
  <si>
    <t>Gross domestic product at market prices</t>
  </si>
  <si>
    <t>Current prices, euro per capita</t>
  </si>
  <si>
    <t>Compensation of employees [tec00013]</t>
  </si>
  <si>
    <t>Compensation of employees is defined as the total remuneration, in cash or in kind, payable by an employer to an employee in return for work done by the latter. In particular, it also includes social contributions paid by the employer.</t>
  </si>
  <si>
    <t>Compensation of employees</t>
  </si>
  <si>
    <t>Current prices, million euro</t>
  </si>
  <si>
    <t>Final consumption expenditure of households and non-profit institutions serving households [tec00009]</t>
  </si>
  <si>
    <t>Private consumption expenditure consists of expenditure incurred for the direct satisfaction of individual or collective needs by private households or non-profit institutions serving households (such as religious societies, sports and other clubs, political parties, etc.).</t>
  </si>
  <si>
    <t>Household and NPISH final consumption expenditure</t>
  </si>
  <si>
    <t>Road traffic deaths, by type of roads [sdg_11_40]</t>
  </si>
  <si>
    <t>The indicator measures the number of fatalities caused by road accidents, including drivers and passengers of motorised vehicles and pedal cycles as well as pedestrians. Persons dying on road accidents up to 30 days after the occurrence of the accident are counted as road accident fatalities. After these 30 days, the reason for dying might be declared differently. For Member States not using this definition, corrective factors are applied. The average population of the reference year (calculated as the arithmetic mean of the population on 1st January of two consecutive years) is used as denominator (per 100 000 persons).</t>
  </si>
  <si>
    <t>Transport infrastructure</t>
  </si>
  <si>
    <t>Total</t>
  </si>
  <si>
    <t>Rate</t>
  </si>
  <si>
    <t>Goods transport by road [ttr00005]</t>
  </si>
  <si>
    <t>Data displayed in this table cover the carriage of goods by road by means of goods road transport vehicles registered in the reporting countries.The collection is based on the Council Regulation (EC) No 1172/98 of 25 may 1998.The reporting countries may exclude from the scope of these satistics the goods road transport vehicles whose load capacity is lower than 3.5 t or the maximum permissible laden weight is lower than 6t.</t>
  </si>
  <si>
    <t>Type of transport</t>
  </si>
  <si>
    <t>Type of operation and loading status</t>
  </si>
  <si>
    <t>Loaded - total transport</t>
  </si>
  <si>
    <t>Thousand tonnes</t>
  </si>
  <si>
    <t>Average CO2 emissions per km from new passenger cars [sdg_12_30]</t>
  </si>
  <si>
    <t>The indicator is defined as the average carbon dioxide (CO2) emissions per km by new passenger cars in a given year. The reported emissions are based on type-approval and can deviate from the actual CO2 emissions of new cars. In the monitoring for cars and vans, emissions data are reported using the ‘New European Driving Cycle’ (NEDC) protocol until 2019, using both protocols NEDC and the ‘Worldwide harmonized Light vehicles Test Procedure’ (WLTP) in 2020 and only WLTP protocol from 2021. In this table, from 2020, reported WLTP data are shown; for the period 2017-2019 a conversion factor, calculated using 2020 data in NEDC and WLTP, is used to show data in WLTP; before 2017, NEDC data are shown.</t>
  </si>
  <si>
    <t>Share of fossil fuels in gross available energy [nrg_ind_ffgae$defaultview]</t>
  </si>
  <si>
    <t>Percentage</t>
  </si>
  <si>
    <t>Final energy consumption [sdg_07_11]</t>
  </si>
  <si>
    <t>The indicator measures the energy end-use in a country excluding all non-energy use of energy carriers (e.g. natural gas used not for combustion but for producing chemicals). “Final energy consumption” only covers the energy consumed by end users, such as industry, transport, households, services and agriculture; it excludes energy consumption of the energy sector itself and losses occurring during transformation and distribution of energy.</t>
  </si>
  <si>
    <t>Million tonnes of oil equivalent</t>
  </si>
  <si>
    <t>Primary energy consumption [sdg_07_10]</t>
  </si>
  <si>
    <t>The indicator measures the total energy needs of a country excluding all non-energy use of energy carriers (e.g. natural gas used not for combustion but for producing chemicals). "Primary Energy Consumption" covers the energy consumption by end users such as industry, transport, households, services and agriculture, plus energy consumption of the energy sector itself for production and transformation of energies, losses occurring during the transformation of energies (e.g. the efficiency of electricity production from combustible fuels) and the transmission and distribution losses of energy).</t>
  </si>
  <si>
    <t>Share of new zero-emission vehicles in all new vehicles of the same type, by type of vehicle and type of motor energy [road_eqr_zevpc$defaultview]</t>
  </si>
  <si>
    <t>-</t>
  </si>
  <si>
    <t>Motor energy</t>
  </si>
  <si>
    <t>Vehicles</t>
  </si>
  <si>
    <t>Passenger cars</t>
  </si>
  <si>
    <t>Bovine population - annual data [apro_mt_lscatl$defaultview]</t>
  </si>
  <si>
    <t>Live animals</t>
  </si>
  <si>
    <t>Live bovine animals</t>
  </si>
  <si>
    <t>Month</t>
  </si>
  <si>
    <t>December</t>
  </si>
  <si>
    <t>Thousand heads (animals)</t>
  </si>
  <si>
    <t>Total unemployment rate [tps00203]</t>
  </si>
  <si>
    <t>Unemployment rates represent unemployed persons as a percentage of the labour force. The labour force is the total number of people employed and unemployed. Unemployed persons comprise persons aged 15 to 74 who were: a. without work during the reference week, b. currently available for work, i.e. were available for paid employment or self-employment before the end of the two weeks following the reference week, c. actively seeking work, i.e. had taken specific steps in the four weeks period ending with the reference week to seek paid employment or self-employment or who found a job to start later, i.e. within a period of, at most, three months. This table does not only show unemployment rates but also unemployed in 1000 and as % of the total population.</t>
  </si>
  <si>
    <t>Age class</t>
  </si>
  <si>
    <t>From 15 to 74 years</t>
  </si>
  <si>
    <t>Percentage of population in the labour force</t>
  </si>
  <si>
    <t>Sex</t>
  </si>
  <si>
    <t>Early leavers from education and training by sex [sdg_04_10]</t>
  </si>
  <si>
    <t>The indicator measures the share of the population aged 18 to 24 with at most lower secondary education who were not involved in any education or training during the four weeks preceding the survey. Lower secondary education refers to ISCED (International Standard Classification of Education) 2011 level 0-2 for data from 2014 onwards and to ISCED 1997 level 0-3C short for data up to 2013. Data stem from the EU Labour Force Survey (EU-LFS).</t>
  </si>
  <si>
    <t>Activity and employment status</t>
  </si>
  <si>
    <t>Population</t>
  </si>
  <si>
    <t>From 18 to 24 years</t>
  </si>
  <si>
    <t>Crude divorce rate [tps00216]</t>
  </si>
  <si>
    <t>The crude divorce rate is the ratio of the number of divorces during the year to the average population in that year. The value is expressed per 1000 persons.</t>
  </si>
  <si>
    <t>Demographic indicator</t>
  </si>
  <si>
    <t>Crude divorce rate</t>
  </si>
  <si>
    <t>Crude marriage rate [tps00206]</t>
  </si>
  <si>
    <t>The crude marriage rate is the ratio of the number of marriages during the year to the average population in that year. The value is expressed per 1000 persons.</t>
  </si>
  <si>
    <t>Crude marriage rate</t>
  </si>
  <si>
    <t>Life expectancy at birth by sex [tps00205]</t>
  </si>
  <si>
    <t>Life expectancy at birth is defined as the mean number of years that a new-born child can expect to live if subjected throughout his life to the current mortality conditions (age specific probabilities of dying).</t>
  </si>
  <si>
    <t>Year</t>
  </si>
  <si>
    <t>Less than 1 year</t>
  </si>
  <si>
    <t>Total fertility rate [tps00199]</t>
  </si>
  <si>
    <t>The mean number of children that would be born alive to a woman during her lifetime if she were to survive and pass through her childbearing years conforming to the fertility rates by age of a given year.</t>
  </si>
  <si>
    <t>Total fertility rate</t>
  </si>
  <si>
    <t>Foreign-born population [tps00178]</t>
  </si>
  <si>
    <t>Number of persons born abroad, (according to present time borders), whether in other EU Member States or non-EU countries, who are usually resident in the reporting country on 1 January of the respective year.</t>
  </si>
  <si>
    <t>Country/region of birth</t>
  </si>
  <si>
    <t>Foreign country</t>
  </si>
  <si>
    <t>Number</t>
  </si>
  <si>
    <t>Old-age-dependency ratio [tps00198]</t>
  </si>
  <si>
    <t>This indicator is the ratio between the number of persons aged 65 and over (age when they are generally economically inactive) and the number of persons aged between 15 and 64. The value is expressed per 100 persons of working age (15-64).</t>
  </si>
  <si>
    <t>Old-age dependency ratio 1st variant (population 65 years or over to population 15 to 64 years)</t>
  </si>
  <si>
    <t>Population density [tps00003]</t>
  </si>
  <si>
    <t>The ratio between the annual average population and the land area. The land area concept (excluding inland waters) should be used wherever available; if not available then the total area, including inland waters (area of lakes and rivers) is used,</t>
  </si>
  <si>
    <t>Persons per square kilometre</t>
  </si>
  <si>
    <t>Total general government revenue [tec00021]</t>
  </si>
  <si>
    <t>Total general government revenue is defined in ESA 2010 8.100 and chapter 20 by reference to a list of categories: market output, output for own final use, payments for non-market output, taxes on production and imports, other subsidies on production, receivable property income, current taxes on income, wealth, etc., net social contributions, other current transfers and capital transfers.</t>
  </si>
  <si>
    <t>Percentage of gross domestic product (GDP)</t>
  </si>
  <si>
    <t>Total general government revenue</t>
  </si>
  <si>
    <t>Sector</t>
  </si>
  <si>
    <t>General government</t>
  </si>
  <si>
    <t>Total general government expenditure [tec00023]</t>
  </si>
  <si>
    <t>Total general government expenditure is defined in ESA 2010 8.100 and chapter 20 by reference to a list of categories: intermediate consumption, gross capital formation, compensation of employees, other taxes on production, subsidies, payable property income, current taxes on income, wealth, etc., social benefits other than social transfers in kind, social transfers in kind - purchased market production, other current transfers, adjustments for the change in pension entitlements, capital transfers and acquisitions less disposals of non-financial non-produced assets.</t>
  </si>
  <si>
    <t>Total general government expenditure</t>
  </si>
  <si>
    <t>Investment by institutional sectors [tec00132]</t>
  </si>
  <si>
    <t>This indicator shows the investment for the total economy, government, business as well as household sectors. The indicator gives the share of GDP that is used for gross investment (rather than being used for e.g. consumption or exports). It is defined as gross fixed capital formation (GFCF) expressed as a percentage of GDP for the government, business and households sectors. GFCF consists of resident producers' acquisitions, less disposals of fixed assets plus certain additions to the value of non-produced assets realised by productive activity, such as improvements to land. Fixed assets comprise, for example, dwellings, other buildings and structures (roads, bridges etc.), machinery and equipment, but also intangible assets such as computer software.</t>
  </si>
  <si>
    <t>Indicator</t>
  </si>
  <si>
    <t>Business investment</t>
  </si>
  <si>
    <t>Real GDP per capita [sdg_08_10]</t>
  </si>
  <si>
    <t>The indicator is calculated as the ratio of real GDP to the average population of a specific year. GDP measures the value of total final output of goods and services produced by an economy within a certain period of time. It includes goods and services that have markets (or which could have markets) and products which are produced by general government and non-profit institutions. It is a measure of economic activity and is also used as a proxy for the development in a country’s material living standards. However, it is a limited measure of economic welfare. For example, neither does GDP include most unpaid household work nor does GDP take account of negative effects of economic activity, like environmental degradation.</t>
  </si>
  <si>
    <t>Chain linked volumes (2010), euro per capita</t>
  </si>
  <si>
    <t>Goods and services, imports and exports [tec00110]</t>
  </si>
  <si>
    <t>Exports of goods and services consist of transactions in goods and services (sales, barter, and gifts) from residents to non-residents. Imports of goods and services consist of transactions in goods and services (purchases, barter, and gifts) from non-residents to residents. Imports and exports of goods occur when economic ownership of goods changes between residents and non-residents. This applies irrespective of corresponding physical movements of goods across frontiers.</t>
  </si>
  <si>
    <t>Imports of goods and services</t>
  </si>
  <si>
    <t>Exports of goods and services</t>
  </si>
  <si>
    <t>Rail transport of passengers [ttr00015]</t>
  </si>
  <si>
    <t>The collection is based on the Regulation (EC) 91/2003 of the European Parliament and of the Council of 16 December 2002 on Rail transport statistics. Data displayed in this table cover the Rail transport of passengers which relate Rail passengers transport in the Member States on its national territory. Member States may exclude railway undertakings which mainly provide local tourist services, such as preserved historical steam railways. They are not covered in these statistics.</t>
  </si>
  <si>
    <t>Millions of passenger-kilometres</t>
  </si>
  <si>
    <t>Transport coverage</t>
  </si>
  <si>
    <t>Total transport</t>
  </si>
  <si>
    <t>Total length of railway lines [ttr00003]</t>
  </si>
  <si>
    <t>The collection is based on data from the United Nations Economic Commission for Europe / International Transport Forum / Eurostat Common Questionnaire for Inland Transport Statistics. The Common Questionnaire is not supported by a legal act, but is based on a gentlemen's agreement with the participating countries. Data displayed in this table cover the length of railway lines, whether electrified or not, on the territory of the reporting country. Railway lines are defined as a line of communication made up by rail exclusively for the use of railway vehicles. They consist of one or more adjacent running tracks forming a route between two points. Where a section of network comprises two or more lines running alongside one another, there are as many lines as routes to which tracks are allotted exclusively.</t>
  </si>
  <si>
    <t>Number of tracks</t>
  </si>
  <si>
    <t>Kilometre</t>
  </si>
  <si>
    <t>Air transport of passengers by country (yearly data) [ttr00012]</t>
  </si>
  <si>
    <t>The table shows the yearly number of passengers carried in Europe (arrivals plus departures), broken down by country. Passengers carried: - are all passengers on a particular flight (with one flight number) counted once only and not repeatedly on each individual stage of that flight. - are all revenue and non-revenue passengers whose journey begins or terminates at the reporting airport and transfer passengers joining or leaving the flight at the reporting airport. - excludes direct transit passengers.</t>
  </si>
  <si>
    <t>Passenger</t>
  </si>
  <si>
    <t>Traffic and transport measurement</t>
  </si>
  <si>
    <t>Passengers carried</t>
  </si>
  <si>
    <t>Type of schedule</t>
  </si>
  <si>
    <t>Gas prices by type of user [ten00118]</t>
  </si>
  <si>
    <t>This indicator presents the natural gas prices charged to final consumers. Natural gas prices for non-household consumers are defined as follows: Average national price in Euro per Giga Joule (GJ) without taxes applicable for the first semester of each year for medium size industrial consumers (Consumption Band I3 with annual consumption between 10 000 and 100 000 GJ). Natural gas prices for household consumers are defined as follows: Average national price in Euro per GJ including taxes and levies applicable for the first semester of each year for medium size household consumers (Consumption Band D2 with annual consumption between 20 and 200 GJ).</t>
  </si>
  <si>
    <t>Products</t>
  </si>
  <si>
    <t>Natural gas</t>
  </si>
  <si>
    <t>Currency</t>
  </si>
  <si>
    <t>Euro</t>
  </si>
  <si>
    <t>Gigajoule (gross calorific value - GCV)</t>
  </si>
  <si>
    <t>Energy indicator</t>
  </si>
  <si>
    <t>Medium size households</t>
  </si>
  <si>
    <t>Share of energy from renewable sources [nrg_ind_ren__custom_10713147]</t>
  </si>
  <si>
    <t>Energy balance</t>
  </si>
  <si>
    <t>Renewable energy sources in transport</t>
  </si>
  <si>
    <t>Greenhouse gas emissions from agriculture [tai08]</t>
  </si>
  <si>
    <t>This indicator tracks trends in greenhouse gas (GHG) emissions by agriculture, estimated and reported under the United Nations Framework Convention on Climate Change (UNFCCC), the Kyoto Protocol and the Decision 525/2013/EC.</t>
  </si>
  <si>
    <t>Air pollutants and greenhouse gases</t>
  </si>
  <si>
    <t>Greenhouse gases (CO2, N2O in CO2 equivalent, CH4 in CO2 equivalent, HFC in CO2 equivalent, PFC in CO2 equivalent, SF6 in CO2 equivalent, NF3 in CO2 equivalent)</t>
  </si>
  <si>
    <t>Source sectors for greenhouse gas emissions (Common reporting format, UNFCCC)</t>
  </si>
  <si>
    <t>Agriculture</t>
  </si>
  <si>
    <t>Road freight transport by type of operation and type of transport (t, tkm, vehicle-km) - annual data [road_go_ta_tott$defaultview]</t>
  </si>
  <si>
    <t>Total - total transport</t>
  </si>
  <si>
    <t>% Educational Attainment Level</t>
  </si>
  <si>
    <t xml:space="preserve">Share of population (%) by educational attainment level  </t>
  </si>
  <si>
    <t>International Standard Classification of Education (ISCED 2011)</t>
  </si>
  <si>
    <t>Age Class</t>
  </si>
  <si>
    <t>15-64 years</t>
  </si>
  <si>
    <t>Less than primary, primary and lower secondary education (levels 0-2)</t>
  </si>
  <si>
    <t>Upper secondary and post-secondary non-tertiary education (levels 3 and 4)</t>
  </si>
  <si>
    <t>Tertiary education (levels 5-8)</t>
  </si>
  <si>
    <t>Human development index</t>
  </si>
  <si>
    <t>CAR_REGISTRATION</t>
  </si>
  <si>
    <t>GROSS_DOMESTIC_PRODUCT</t>
  </si>
  <si>
    <t>COMPENSATION_OF_EMPLOYEES</t>
  </si>
  <si>
    <t>FINAL_CONSUMPTION</t>
  </si>
  <si>
    <t>ROAD_DEATH</t>
  </si>
  <si>
    <t>EARLY_LEAVERS</t>
  </si>
  <si>
    <t>LIFE_EXPECTANCY</t>
  </si>
  <si>
    <t xml:space="preserve">OLD_RATIO </t>
  </si>
  <si>
    <t>REAL_GDP</t>
  </si>
  <si>
    <t>AIR_TRANSPORT</t>
  </si>
  <si>
    <t>PERC_EDUCATIONAL_ATTAINMENT_LEVEL_0_2</t>
  </si>
  <si>
    <t>PERC_EDUCATIONAL_ATTAINMENT_LEVEL_3_4</t>
  </si>
  <si>
    <t>PERC_EDUCATIONAL_ATTAINMENT_LEVEL(Level 5-8)</t>
  </si>
  <si>
    <t>pop</t>
  </si>
  <si>
    <t>gdp</t>
  </si>
  <si>
    <t>coe</t>
  </si>
  <si>
    <t>cy</t>
  </si>
  <si>
    <t>cr</t>
  </si>
  <si>
    <t>fc</t>
  </si>
  <si>
    <t>rd</t>
  </si>
  <si>
    <t>el</t>
  </si>
  <si>
    <t>mar</t>
  </si>
  <si>
    <t>le</t>
  </si>
  <si>
    <t>fert</t>
  </si>
  <si>
    <t>for</t>
  </si>
  <si>
    <t>or</t>
  </si>
  <si>
    <t>dens</t>
  </si>
  <si>
    <t>rgdp</t>
  </si>
  <si>
    <t>imp</t>
  </si>
  <si>
    <t>exp</t>
  </si>
  <si>
    <t>at</t>
  </si>
  <si>
    <t>eal1</t>
  </si>
  <si>
    <t>eal2</t>
  </si>
  <si>
    <t>eal3</t>
  </si>
  <si>
    <t>hdi</t>
  </si>
  <si>
    <t>eyos</t>
  </si>
  <si>
    <t>myos</t>
  </si>
  <si>
    <t>gnipc</t>
  </si>
  <si>
    <t>gdi</t>
  </si>
  <si>
    <t>gii</t>
  </si>
  <si>
    <t>mmr</t>
  </si>
  <si>
    <t>abr</t>
  </si>
  <si>
    <t>co2</t>
  </si>
  <si>
    <t>mfpc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</si>
</sst>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
    <numFmt numFmtId="165" formatCode="#,###,##0.0"/>
    <numFmt numFmtId="166" formatCode="#,###,##0.00"/>
    <numFmt numFmtId="167" formatCode="#,###,##0.000"/>
    <numFmt numFmtId="168" formatCode="#,###,##0.0000"/>
  </numFmts>
  <fonts count="34" x14ac:knownFonts="1">
    <font>
      <sz val="12"/>
      <name val="Times New Roman"/>
    </font>
    <font>
      <sz val="11"/>
      <color theme="1"/>
      <name val="Calibri"/>
      <family val="2"/>
      <scheme val="minor"/>
    </font>
    <font>
      <b/>
      <sz val="11"/>
      <color theme="3"/>
      <name val="Calibri"/>
      <family val="2"/>
      <scheme val="minor"/>
    </font>
    <font>
      <b/>
      <i/>
      <sz val="10"/>
      <color indexed="8"/>
      <name val="Arial"/>
      <family val="2"/>
    </font>
    <font>
      <b/>
      <sz val="10"/>
      <color indexed="8"/>
      <name val="Arial"/>
      <family val="2"/>
    </font>
    <font>
      <b/>
      <i/>
      <sz val="12"/>
      <color indexed="10"/>
      <name val="Arial"/>
      <family val="2"/>
    </font>
    <font>
      <sz val="10"/>
      <name val="Arial"/>
      <family val="2"/>
    </font>
    <font>
      <sz val="11"/>
      <color rgb="FF151515"/>
      <name val="Arial"/>
      <family val="2"/>
    </font>
    <font>
      <b/>
      <sz val="11"/>
      <name val="Arial"/>
      <family val="2"/>
    </font>
    <font>
      <u/>
      <sz val="9"/>
      <color indexed="12"/>
      <name val="Arial"/>
      <family val="2"/>
    </font>
    <font>
      <sz val="9"/>
      <name val="Arial"/>
      <family val="2"/>
    </font>
    <font>
      <b/>
      <sz val="9"/>
      <name val="Arial"/>
      <family val="2"/>
    </font>
    <font>
      <u/>
      <sz val="12"/>
      <color theme="10"/>
      <name val="Times New Roman"/>
      <family val="1"/>
    </font>
    <font>
      <sz val="18"/>
      <color theme="3"/>
      <name val="Calibri Light"/>
      <family val="2"/>
      <scheme val="major"/>
    </font>
    <font>
      <b/>
      <sz val="15"/>
      <color theme="3"/>
      <name val="Calibri"/>
      <family val="2"/>
      <scheme val="minor"/>
    </font>
    <font>
      <b/>
      <sz val="13"/>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Times New Roman"/>
      <family val="1"/>
    </font>
    <font>
      <sz val="10"/>
      <name val="Arial"/>
      <family val="2"/>
    </font>
    <font>
      <sz val="12"/>
      <color theme="0"/>
      <name val="Times New Roman"/>
      <family val="1"/>
    </font>
    <font>
      <u/>
      <sz val="12"/>
      <color theme="0"/>
      <name val="Times New Roman"/>
      <family val="1"/>
    </font>
    <font>
      <u/>
      <sz val="12"/>
      <name val="Times New Roman"/>
      <family val="1"/>
    </font>
    <font>
      <b/>
      <sz val="12"/>
      <name val="Arial"/>
      <family val="2"/>
    </font>
  </fonts>
  <fills count="38">
    <fill>
      <patternFill patternType="none"/>
    </fill>
    <fill>
      <patternFill patternType="gray125"/>
    </fill>
    <fill>
      <patternFill patternType="lightGray">
        <fgColor indexed="22"/>
      </patternFill>
    </fill>
    <fill>
      <patternFill patternType="gray0625">
        <fgColor indexed="9"/>
      </patternFill>
    </fill>
    <fill>
      <patternFill patternType="lightGray">
        <fgColor indexed="9"/>
      </patternFill>
    </fill>
    <fill>
      <patternFill patternType="solid">
        <fgColor rgb="FFF6F6F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1">
    <border>
      <left/>
      <right/>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diagonal/>
    </border>
  </borders>
  <cellStyleXfs count="48">
    <xf numFmtId="0" fontId="0" fillId="0" borderId="0"/>
    <xf numFmtId="0" fontId="2" fillId="0" borderId="0" applyNumberFormat="0" applyFill="0" applyBorder="0" applyAlignment="0" applyProtection="0"/>
    <xf numFmtId="164" fontId="3" fillId="2" borderId="0" applyNumberFormat="0" applyBorder="0">
      <protection locked="0"/>
    </xf>
    <xf numFmtId="164" fontId="4" fillId="3" borderId="0" applyNumberFormat="0" applyBorder="0">
      <protection locked="0"/>
    </xf>
    <xf numFmtId="164" fontId="5" fillId="4" borderId="0" applyNumberFormat="0" applyBorder="0">
      <protection locked="0"/>
    </xf>
    <xf numFmtId="0" fontId="6" fillId="0" borderId="0"/>
    <xf numFmtId="0" fontId="12" fillId="0" borderId="0" applyNumberFormat="0" applyFill="0" applyBorder="0" applyAlignment="0" applyProtection="0"/>
    <xf numFmtId="0" fontId="13" fillId="0" borderId="0" applyNumberFormat="0" applyFill="0" applyBorder="0" applyAlignment="0" applyProtection="0"/>
    <xf numFmtId="0" fontId="14" fillId="0" borderId="9" applyNumberFormat="0" applyFill="0" applyAlignment="0" applyProtection="0"/>
    <xf numFmtId="0" fontId="15" fillId="0" borderId="10" applyNumberFormat="0" applyFill="0" applyAlignment="0" applyProtection="0"/>
    <xf numFmtId="0" fontId="2" fillId="0" borderId="11" applyNumberFormat="0" applyFill="0" applyAlignment="0" applyProtection="0"/>
    <xf numFmtId="0" fontId="16" fillId="6" borderId="0" applyNumberFormat="0" applyBorder="0" applyAlignment="0" applyProtection="0"/>
    <xf numFmtId="0" fontId="17" fillId="7" borderId="0" applyNumberFormat="0" applyBorder="0" applyAlignment="0" applyProtection="0"/>
    <xf numFmtId="0" fontId="18" fillId="8" borderId="0" applyNumberFormat="0" applyBorder="0" applyAlignment="0" applyProtection="0"/>
    <xf numFmtId="0" fontId="19" fillId="9" borderId="12" applyNumberFormat="0" applyAlignment="0" applyProtection="0"/>
    <xf numFmtId="0" fontId="20" fillId="10" borderId="13" applyNumberFormat="0" applyAlignment="0" applyProtection="0"/>
    <xf numFmtId="0" fontId="21" fillId="10" borderId="12" applyNumberFormat="0" applyAlignment="0" applyProtection="0"/>
    <xf numFmtId="0" fontId="22" fillId="0" borderId="14" applyNumberFormat="0" applyFill="0" applyAlignment="0" applyProtection="0"/>
    <xf numFmtId="0" fontId="23" fillId="11" borderId="15" applyNumberFormat="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6" fillId="0" borderId="17" applyNumberFormat="0" applyFill="0" applyAlignment="0" applyProtection="0"/>
    <xf numFmtId="0" fontId="2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2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2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2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2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7"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29" fillId="0" borderId="0"/>
    <xf numFmtId="0" fontId="1" fillId="12" borderId="16" applyNumberFormat="0" applyFont="0" applyAlignment="0" applyProtection="0"/>
  </cellStyleXfs>
  <cellXfs count="45">
    <xf numFmtId="0" fontId="0" fillId="0" borderId="0" xfId="0"/>
    <xf numFmtId="0" fontId="9" fillId="5" borderId="0" xfId="0" applyFont="1" applyFill="1" applyAlignment="1">
      <alignment horizontal="left" vertical="center"/>
    </xf>
    <xf numFmtId="0" fontId="0" fillId="0" borderId="1" xfId="0" applyBorder="1"/>
    <xf numFmtId="164" fontId="7" fillId="0" borderId="5" xfId="1" applyNumberFormat="1" applyFont="1" applyFill="1" applyBorder="1" applyAlignment="1" applyProtection="1">
      <alignment vertical="center"/>
      <protection locked="0"/>
    </xf>
    <xf numFmtId="0" fontId="11" fillId="0" borderId="0" xfId="0" applyFont="1" applyAlignment="1">
      <alignment horizontal="left" vertical="center"/>
    </xf>
    <xf numFmtId="0" fontId="10" fillId="0" borderId="0" xfId="0" applyFont="1" applyAlignment="1">
      <alignment horizontal="left" vertical="center"/>
    </xf>
    <xf numFmtId="0" fontId="0" fillId="0" borderId="8" xfId="0" applyBorder="1"/>
    <xf numFmtId="0" fontId="0" fillId="0" borderId="3" xfId="0" applyBorder="1"/>
    <xf numFmtId="0" fontId="9" fillId="5" borderId="4" xfId="0" applyFont="1" applyFill="1" applyBorder="1" applyAlignment="1">
      <alignment horizontal="left" vertical="center"/>
    </xf>
    <xf numFmtId="0" fontId="0" fillId="0" borderId="5" xfId="0" applyBorder="1"/>
    <xf numFmtId="0" fontId="10" fillId="0" borderId="4" xfId="0" applyFont="1" applyBorder="1" applyAlignment="1">
      <alignment horizontal="left" vertical="top" wrapText="1"/>
    </xf>
    <xf numFmtId="0" fontId="11" fillId="0" borderId="4" xfId="0" applyFont="1" applyBorder="1" applyAlignment="1">
      <alignment horizontal="left" vertical="center"/>
    </xf>
    <xf numFmtId="0" fontId="11" fillId="0" borderId="6" xfId="0" applyFont="1" applyBorder="1" applyAlignment="1">
      <alignment horizontal="left" vertical="center"/>
    </xf>
    <xf numFmtId="0" fontId="10" fillId="0" borderId="1" xfId="0" applyFont="1" applyBorder="1" applyAlignment="1">
      <alignment horizontal="left" vertical="center"/>
    </xf>
    <xf numFmtId="0" fontId="0" fillId="0" borderId="7" xfId="0" applyBorder="1"/>
    <xf numFmtId="0" fontId="0" fillId="0" borderId="4" xfId="0" applyBorder="1"/>
    <xf numFmtId="0" fontId="10" fillId="0" borderId="4" xfId="0" applyFont="1" applyBorder="1" applyAlignment="1">
      <alignment horizontal="left" vertical="center"/>
    </xf>
    <xf numFmtId="0" fontId="10" fillId="0" borderId="6" xfId="0" applyFont="1" applyBorder="1" applyAlignment="1">
      <alignment horizontal="left" vertical="center"/>
    </xf>
    <xf numFmtId="0" fontId="11" fillId="0" borderId="1" xfId="0" applyFont="1" applyBorder="1" applyAlignment="1">
      <alignment horizontal="left" vertical="center"/>
    </xf>
    <xf numFmtId="0" fontId="10" fillId="0" borderId="6" xfId="0" applyFont="1" applyBorder="1" applyAlignment="1">
      <alignment horizontal="left" vertical="top" wrapText="1"/>
    </xf>
    <xf numFmtId="0" fontId="32" fillId="0" borderId="0" xfId="6" applyFont="1"/>
    <xf numFmtId="0" fontId="31" fillId="0" borderId="0" xfId="6" applyFont="1"/>
    <xf numFmtId="0" fontId="8" fillId="0" borderId="2" xfId="0" applyFont="1" applyBorder="1" applyAlignment="1">
      <alignment horizontal="left" vertical="center"/>
    </xf>
    <xf numFmtId="0" fontId="30" fillId="0" borderId="0" xfId="0" applyFont="1"/>
    <xf numFmtId="0" fontId="10" fillId="0" borderId="8" xfId="0" applyFont="1" applyBorder="1" applyAlignment="1">
      <alignment horizontal="left" vertical="center"/>
    </xf>
    <xf numFmtId="0" fontId="33" fillId="0" borderId="18" xfId="0" applyFont="1" applyBorder="1"/>
    <xf numFmtId="0" fontId="33" fillId="37" borderId="19" xfId="0" applyFont="1" applyFill="1" applyBorder="1"/>
    <xf numFmtId="164" fontId="7" fillId="37" borderId="20" xfId="1" applyNumberFormat="1" applyFont="1" applyFill="1" applyBorder="1" applyAlignment="1" applyProtection="1">
      <alignment vertical="center"/>
      <protection locked="0"/>
    </xf>
    <xf numFmtId="0" fontId="33" fillId="0" borderId="19" xfId="0" applyFont="1" applyBorder="1"/>
    <xf numFmtId="164" fontId="7" fillId="0" borderId="20" xfId="1" applyNumberFormat="1" applyFont="1" applyBorder="1" applyAlignment="1" applyProtection="1">
      <alignment vertical="center"/>
      <protection locked="0"/>
    </xf>
    <xf numFmtId="165" fontId="7" fillId="0" borderId="20" xfId="1" applyNumberFormat="1" applyFont="1" applyBorder="1" applyAlignment="1" applyProtection="1">
      <alignment vertical="center"/>
      <protection locked="0"/>
    </xf>
    <xf numFmtId="0" fontId="12" fillId="0" borderId="0" xfId="6"/>
    <xf numFmtId="166" fontId="7" fillId="0" borderId="20" xfId="1" applyNumberFormat="1" applyFont="1" applyBorder="1" applyAlignment="1" applyProtection="1">
      <alignment vertical="center"/>
      <protection locked="0"/>
    </xf>
    <xf numFmtId="167" fontId="7" fillId="0" borderId="20" xfId="1" applyNumberFormat="1" applyFont="1" applyBorder="1" applyAlignment="1" applyProtection="1">
      <alignment vertical="center"/>
      <protection locked="0"/>
    </xf>
    <xf numFmtId="168" fontId="7" fillId="0" borderId="20" xfId="1" applyNumberFormat="1" applyFont="1" applyBorder="1" applyAlignment="1" applyProtection="1">
      <alignment vertical="center"/>
      <protection locked="0"/>
    </xf>
    <xf numFmtId="0" fontId="8" fillId="0" borderId="0" xfId="0" applyFont="1" applyAlignment="1">
      <alignment horizontal="left" vertical="center"/>
    </xf>
    <xf numFmtId="0" fontId="10" fillId="5" borderId="0" xfId="0" applyFont="1" applyFill="1" applyAlignment="1">
      <alignment horizontal="left" vertical="center"/>
    </xf>
    <xf numFmtId="0" fontId="33" fillId="37" borderId="20" xfId="0" applyFont="1" applyFill="1" applyBorder="1"/>
    <xf numFmtId="0" fontId="33" fillId="0" borderId="20" xfId="0" applyFont="1" applyBorder="1"/>
    <xf numFmtId="0" fontId="10" fillId="0" borderId="1" xfId="0" applyFont="1" applyBorder="1" applyAlignment="1">
      <alignment horizontal="left" vertical="top" wrapText="1"/>
    </xf>
    <xf numFmtId="0" fontId="10" fillId="0" borderId="0" xfId="0" applyFont="1" applyAlignment="1">
      <alignment horizontal="left" vertical="top" wrapText="1"/>
    </xf>
    <xf numFmtId="0" fontId="0" fillId="0" borderId="0" xfId="0"/>
    <xf numFmtId="0" fontId="0" fillId="0" borderId="5" xfId="0" applyBorder="1"/>
    <xf numFmtId="164" fontId="7" fillId="0" borderId="0" xfId="1" applyNumberFormat="1" applyFont="1" applyBorder="1" applyAlignment="1" applyProtection="1">
      <alignment vertical="center"/>
      <protection locked="0"/>
    </xf>
    <xf numFmtId="0" fontId="33" fillId="0" borderId="5" xfId="0" applyFont="1" applyBorder="1"/>
  </cellXfs>
  <cellStyles count="48">
    <cellStyle name="20% - Accent1" xfId="23" builtinId="30" customBuiltin="1"/>
    <cellStyle name="20% - Accent2" xfId="27" builtinId="34" customBuiltin="1"/>
    <cellStyle name="20% - Accent3" xfId="31" builtinId="38" customBuiltin="1"/>
    <cellStyle name="20% - Accent4" xfId="35" builtinId="42" customBuiltin="1"/>
    <cellStyle name="20% - Accent5" xfId="39" builtinId="46" customBuiltin="1"/>
    <cellStyle name="20% - Accent6" xfId="43" builtinId="50" customBuiltin="1"/>
    <cellStyle name="40% - Accent1" xfId="24" builtinId="31" customBuiltin="1"/>
    <cellStyle name="40% - Accent2" xfId="28" builtinId="35" customBuiltin="1"/>
    <cellStyle name="40% - Accent3" xfId="32" builtinId="39" customBuiltin="1"/>
    <cellStyle name="40% - Accent4" xfId="36" builtinId="43" customBuiltin="1"/>
    <cellStyle name="40% - Accent5" xfId="40" builtinId="47" customBuiltin="1"/>
    <cellStyle name="40% - Accent6" xfId="44" builtinId="51" customBuiltin="1"/>
    <cellStyle name="60% - Accent1" xfId="25" builtinId="32" customBuiltin="1"/>
    <cellStyle name="60% - Accent2" xfId="29" builtinId="36" customBuiltin="1"/>
    <cellStyle name="60% - Accent3" xfId="33" builtinId="40" customBuiltin="1"/>
    <cellStyle name="60% - Accent4" xfId="37" builtinId="44" customBuiltin="1"/>
    <cellStyle name="60% - Accent5" xfId="41" builtinId="48" customBuiltin="1"/>
    <cellStyle name="60% - Accent6" xfId="45" builtinId="52" customBuiltin="1"/>
    <cellStyle name="Accent1" xfId="22" builtinId="29" customBuiltin="1"/>
    <cellStyle name="Accent2" xfId="26" builtinId="33" customBuiltin="1"/>
    <cellStyle name="Accent3" xfId="30" builtinId="37" customBuiltin="1"/>
    <cellStyle name="Accent4" xfId="34" builtinId="41" customBuiltin="1"/>
    <cellStyle name="Accent5" xfId="38" builtinId="45" customBuiltin="1"/>
    <cellStyle name="Accent6" xfId="42" builtinId="49" customBuiltin="1"/>
    <cellStyle name="Bad" xfId="12" builtinId="27" customBuiltin="1"/>
    <cellStyle name="Calculation" xfId="16" builtinId="22" customBuiltin="1"/>
    <cellStyle name="Check Cell" xfId="18" builtinId="23" customBuiltin="1"/>
    <cellStyle name="Explanatory Text" xfId="20" builtinId="53" customBuiltin="1"/>
    <cellStyle name="Good" xfId="11" builtinId="26" customBuiltin="1"/>
    <cellStyle name="Heading 1" xfId="8" builtinId="16" customBuiltin="1"/>
    <cellStyle name="Heading 2" xfId="9" builtinId="17" customBuiltin="1"/>
    <cellStyle name="Heading 3" xfId="10" builtinId="18" customBuiltin="1"/>
    <cellStyle name="Heading 4" xfId="1" builtinId="19" customBuiltin="1"/>
    <cellStyle name="Hyperlink" xfId="6" builtinId="8"/>
    <cellStyle name="Input" xfId="14" builtinId="20" customBuiltin="1"/>
    <cellStyle name="Linked Cell" xfId="17" builtinId="24" customBuiltin="1"/>
    <cellStyle name="Neutral" xfId="13" builtinId="28" customBuiltin="1"/>
    <cellStyle name="Normal" xfId="0" builtinId="0"/>
    <cellStyle name="Normal 2" xfId="5" xr:uid="{00000000-0005-0000-0000-000004000000}"/>
    <cellStyle name="Normal 3" xfId="46" xr:uid="{61F5D937-BCA2-4296-B288-010181E7A9E6}"/>
    <cellStyle name="Note 2" xfId="47" xr:uid="{5099F455-E5E0-477B-9A8B-16C97670E315}"/>
    <cellStyle name="Output" xfId="15" builtinId="21" customBuiltin="1"/>
    <cellStyle name="Title" xfId="7" builtinId="15" customBuiltin="1"/>
    <cellStyle name="Titre tableau" xfId="4" xr:uid="{00000000-0005-0000-0000-00000A000000}"/>
    <cellStyle name="Total" xfId="21" builtinId="25" customBuiltin="1"/>
    <cellStyle name="Total intermediaire" xfId="3" xr:uid="{00000000-0005-0000-0000-00000B000000}"/>
    <cellStyle name="Total tableau" xfId="2" xr:uid="{00000000-0005-0000-0000-00000C000000}"/>
    <cellStyle name="Warning Text" xfId="19" builtinId="11" customBuiltin="1"/>
  </cellStyles>
  <dxfs count="2">
    <dxf>
      <fill>
        <patternFill>
          <bgColor rgb="FFFF0000"/>
        </patternFill>
      </fill>
    </dxf>
    <dxf>
      <fill>
        <patternFill>
          <bgColor rgb="FFFF0000"/>
        </patternFill>
      </fill>
    </dxf>
  </dxfs>
  <tableStyles count="0" defaultTableStyle="TableStyleMedium2" defaultPivotStyle="PivotStyleLight16"/>
  <colors>
    <mruColors>
      <color rgb="FF00C4DA"/>
      <color rgb="FF002C41"/>
      <color rgb="FFDEDEDE"/>
      <color rgb="FF808080"/>
      <color rgb="FF15151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6" Type="http://schemas.openxmlformats.org/officeDocument/2006/relationships/hyperlink" Target="https://ec.europa.eu/eurostat/databrowser/view/tps00203/default/table" TargetMode="External"/><Relationship Id="rId21" Type="http://schemas.openxmlformats.org/officeDocument/2006/relationships/hyperlink" Target="https://ec.europa.eu/eurostat/databrowser/product/page/road_eqr_zevpc$defaultview" TargetMode="External"/><Relationship Id="rId42" Type="http://schemas.openxmlformats.org/officeDocument/2006/relationships/hyperlink" Target="https://ec.europa.eu/eurostat/databrowser/view/tps00003/default/table" TargetMode="External"/><Relationship Id="rId47" Type="http://schemas.openxmlformats.org/officeDocument/2006/relationships/hyperlink" Target="https://ec.europa.eu/eurostat/databrowser/product/page/tec00132" TargetMode="External"/><Relationship Id="rId63" Type="http://schemas.openxmlformats.org/officeDocument/2006/relationships/hyperlink" Target="https://ec.europa.eu/eurostat/databrowser/product/page/nrg_ind_ren__custom_10713147" TargetMode="External"/><Relationship Id="rId68" Type="http://schemas.openxmlformats.org/officeDocument/2006/relationships/hyperlink" Target="https://ec.europa.eu/eurostat/databrowser/view/road_go_ta_tott$defaultview/default/table" TargetMode="External"/><Relationship Id="rId2" Type="http://schemas.openxmlformats.org/officeDocument/2006/relationships/hyperlink" Target="https://ec.europa.eu/eurostat/databrowser/product/page/tps00001" TargetMode="External"/><Relationship Id="rId16" Type="http://schemas.openxmlformats.org/officeDocument/2006/relationships/hyperlink" Target="https://ec.europa.eu/eurostat/databrowser/view/nrg_ind_ffgae$defaultview/default/table" TargetMode="External"/><Relationship Id="rId29" Type="http://schemas.openxmlformats.org/officeDocument/2006/relationships/hyperlink" Target="https://ec.europa.eu/eurostat/databrowser/product/page/tps00216" TargetMode="External"/><Relationship Id="rId11" Type="http://schemas.openxmlformats.org/officeDocument/2006/relationships/hyperlink" Target="https://ec.europa.eu/eurostat/databrowser/product/page/ttr00005" TargetMode="External"/><Relationship Id="rId24" Type="http://schemas.openxmlformats.org/officeDocument/2006/relationships/hyperlink" Target="https://ec.europa.eu/eurostat/databrowser/view/apro_mt_lscatl$defaultview/default/table" TargetMode="External"/><Relationship Id="rId32" Type="http://schemas.openxmlformats.org/officeDocument/2006/relationships/hyperlink" Target="https://ec.europa.eu/eurostat/databrowser/view/tps00206/default/table" TargetMode="External"/><Relationship Id="rId37" Type="http://schemas.openxmlformats.org/officeDocument/2006/relationships/hyperlink" Target="https://ec.europa.eu/eurostat/databrowser/product/page/tps00178" TargetMode="External"/><Relationship Id="rId40" Type="http://schemas.openxmlformats.org/officeDocument/2006/relationships/hyperlink" Target="https://ec.europa.eu/eurostat/databrowser/view/tps00198/default/table" TargetMode="External"/><Relationship Id="rId45" Type="http://schemas.openxmlformats.org/officeDocument/2006/relationships/hyperlink" Target="https://ec.europa.eu/eurostat/databrowser/product/page/tec00023" TargetMode="External"/><Relationship Id="rId53" Type="http://schemas.openxmlformats.org/officeDocument/2006/relationships/hyperlink" Target="https://ec.europa.eu/eurostat/databrowser/product/page/tec00110" TargetMode="External"/><Relationship Id="rId58" Type="http://schemas.openxmlformats.org/officeDocument/2006/relationships/hyperlink" Target="https://ec.europa.eu/eurostat/databrowser/view/ttr00003/default/table" TargetMode="External"/><Relationship Id="rId66" Type="http://schemas.openxmlformats.org/officeDocument/2006/relationships/hyperlink" Target="https://ec.europa.eu/eurostat/databrowser/view/tai08/default/table" TargetMode="External"/><Relationship Id="rId5" Type="http://schemas.openxmlformats.org/officeDocument/2006/relationships/hyperlink" Target="https://ec.europa.eu/eurostat/databrowser/product/page/tec00013" TargetMode="External"/><Relationship Id="rId61" Type="http://schemas.openxmlformats.org/officeDocument/2006/relationships/hyperlink" Target="https://ec.europa.eu/eurostat/databrowser/product/page/ten00118" TargetMode="External"/><Relationship Id="rId19" Type="http://schemas.openxmlformats.org/officeDocument/2006/relationships/hyperlink" Target="https://ec.europa.eu/eurostat/databrowser/product/page/sdg_07_10" TargetMode="External"/><Relationship Id="rId14" Type="http://schemas.openxmlformats.org/officeDocument/2006/relationships/hyperlink" Target="https://ec.europa.eu/eurostat/databrowser/view/sdg_12_30/default/table" TargetMode="External"/><Relationship Id="rId22" Type="http://schemas.openxmlformats.org/officeDocument/2006/relationships/hyperlink" Target="https://ec.europa.eu/eurostat/databrowser/view/road_eqr_zevpc$defaultview/default/table" TargetMode="External"/><Relationship Id="rId27" Type="http://schemas.openxmlformats.org/officeDocument/2006/relationships/hyperlink" Target="https://ec.europa.eu/eurostat/databrowser/product/page/sdg_04_10" TargetMode="External"/><Relationship Id="rId30" Type="http://schemas.openxmlformats.org/officeDocument/2006/relationships/hyperlink" Target="https://ec.europa.eu/eurostat/databrowser/view/tps00216/default/table" TargetMode="External"/><Relationship Id="rId35" Type="http://schemas.openxmlformats.org/officeDocument/2006/relationships/hyperlink" Target="https://ec.europa.eu/eurostat/databrowser/product/page/tps00199" TargetMode="External"/><Relationship Id="rId43" Type="http://schemas.openxmlformats.org/officeDocument/2006/relationships/hyperlink" Target="https://ec.europa.eu/eurostat/databrowser/product/page/tec00021" TargetMode="External"/><Relationship Id="rId48" Type="http://schemas.openxmlformats.org/officeDocument/2006/relationships/hyperlink" Target="https://ec.europa.eu/eurostat/databrowser/view/tec00132/default/table" TargetMode="External"/><Relationship Id="rId56" Type="http://schemas.openxmlformats.org/officeDocument/2006/relationships/hyperlink" Target="https://ec.europa.eu/eurostat/databrowser/view/ttr00015/default/table" TargetMode="External"/><Relationship Id="rId64" Type="http://schemas.openxmlformats.org/officeDocument/2006/relationships/hyperlink" Target="https://ec.europa.eu/eurostat/databrowser/view/nrg_ind_ren__custom_10713147/default/table" TargetMode="External"/><Relationship Id="rId69" Type="http://schemas.openxmlformats.org/officeDocument/2006/relationships/hyperlink" Target="https://data-explorer.oecd.org/vis?lc=en&amp;fs%5b0%5d=Topic%2C1%7CEconomy%23ECO%23%7CShort-term%20economic%20statistics%23ECO_STS%23&amp;pg=0&amp;fc=Topic&amp;bp=true&amp;snb=21&amp;df%5bds%5d=dsDisseminateFinalDMZ&amp;df%5bid%5d=DSD_KEI%40DF_KEI&amp;df%5bag%5d=OECD.SDD.STES&amp;df%5bvs%5d=4.0&amp;pd=2014%2C2021&amp;dq=.A.CP.GR%2BIX._Z..&amp;ly%5brw%5d=REF_AREA&amp;ly%5bcl%5d=TIME_PERIOD&amp;to%5bTIME_PERIOD%5d=false&amp;vw=tb" TargetMode="External"/><Relationship Id="rId8" Type="http://schemas.openxmlformats.org/officeDocument/2006/relationships/hyperlink" Target="https://ec.europa.eu/eurostat/databrowser/view/tec00009/default/table" TargetMode="External"/><Relationship Id="rId51" Type="http://schemas.openxmlformats.org/officeDocument/2006/relationships/hyperlink" Target="https://ec.europa.eu/eurostat/databrowser/product/page/tec00110" TargetMode="External"/><Relationship Id="rId72" Type="http://schemas.openxmlformats.org/officeDocument/2006/relationships/hyperlink" Target="https://hdr.undp.org/sites/default/files/2023-24_HDR/HDR23-24_Composite_indices_complete_time_series.csv" TargetMode="External"/><Relationship Id="rId3" Type="http://schemas.openxmlformats.org/officeDocument/2006/relationships/hyperlink" Target="https://ec.europa.eu/eurostat/databrowser/product/page/tec00001" TargetMode="External"/><Relationship Id="rId12" Type="http://schemas.openxmlformats.org/officeDocument/2006/relationships/hyperlink" Target="https://ec.europa.eu/eurostat/databrowser/view/ttr00005/default/table" TargetMode="External"/><Relationship Id="rId17" Type="http://schemas.openxmlformats.org/officeDocument/2006/relationships/hyperlink" Target="https://ec.europa.eu/eurostat/databrowser/product/page/sdg_07_11" TargetMode="External"/><Relationship Id="rId25" Type="http://schemas.openxmlformats.org/officeDocument/2006/relationships/hyperlink" Target="https://ec.europa.eu/eurostat/databrowser/product/page/tps00203" TargetMode="External"/><Relationship Id="rId33" Type="http://schemas.openxmlformats.org/officeDocument/2006/relationships/hyperlink" Target="https://ec.europa.eu/eurostat/databrowser/product/page/tps00205" TargetMode="External"/><Relationship Id="rId38" Type="http://schemas.openxmlformats.org/officeDocument/2006/relationships/hyperlink" Target="https://ec.europa.eu/eurostat/databrowser/view/tps00178/default/table" TargetMode="External"/><Relationship Id="rId46" Type="http://schemas.openxmlformats.org/officeDocument/2006/relationships/hyperlink" Target="https://ec.europa.eu/eurostat/databrowser/view/tec00023/default/table" TargetMode="External"/><Relationship Id="rId59" Type="http://schemas.openxmlformats.org/officeDocument/2006/relationships/hyperlink" Target="https://ec.europa.eu/eurostat/databrowser/product/page/ttr00012" TargetMode="External"/><Relationship Id="rId67" Type="http://schemas.openxmlformats.org/officeDocument/2006/relationships/hyperlink" Target="https://ec.europa.eu/eurostat/databrowser/product/page/road_go_ta_tott$defaultview" TargetMode="External"/><Relationship Id="rId20" Type="http://schemas.openxmlformats.org/officeDocument/2006/relationships/hyperlink" Target="https://ec.europa.eu/eurostat/databrowser/view/sdg_07_10/default/table" TargetMode="External"/><Relationship Id="rId41" Type="http://schemas.openxmlformats.org/officeDocument/2006/relationships/hyperlink" Target="https://ec.europa.eu/eurostat/databrowser/product/page/tps00003" TargetMode="External"/><Relationship Id="rId54" Type="http://schemas.openxmlformats.org/officeDocument/2006/relationships/hyperlink" Target="https://ec.europa.eu/eurostat/databrowser/view/tec00110/default/table" TargetMode="External"/><Relationship Id="rId62" Type="http://schemas.openxmlformats.org/officeDocument/2006/relationships/hyperlink" Target="https://ec.europa.eu/eurostat/databrowser/view/ten00118/default/table" TargetMode="External"/><Relationship Id="rId70" Type="http://schemas.openxmlformats.org/officeDocument/2006/relationships/hyperlink" Target="https://ec.europa.eu/eurostat/databrowser/product/page/edat_lfse_03__custom_10705316" TargetMode="External"/><Relationship Id="rId1" Type="http://schemas.openxmlformats.org/officeDocument/2006/relationships/hyperlink" Target="https://ec.europa.eu/eurostat/databrowser/view/tps00001/default/table" TargetMode="External"/><Relationship Id="rId6" Type="http://schemas.openxmlformats.org/officeDocument/2006/relationships/hyperlink" Target="https://ec.europa.eu/eurostat/databrowser/view/tec00013/default/table" TargetMode="External"/><Relationship Id="rId15" Type="http://schemas.openxmlformats.org/officeDocument/2006/relationships/hyperlink" Target="https://ec.europa.eu/eurostat/databrowser/product/page/nrg_ind_ffgae$defaultview" TargetMode="External"/><Relationship Id="rId23" Type="http://schemas.openxmlformats.org/officeDocument/2006/relationships/hyperlink" Target="https://ec.europa.eu/eurostat/databrowser/product/page/apro_mt_lscatl$defaultview" TargetMode="External"/><Relationship Id="rId28" Type="http://schemas.openxmlformats.org/officeDocument/2006/relationships/hyperlink" Target="https://ec.europa.eu/eurostat/databrowser/view/sdg_04_10/default/table" TargetMode="External"/><Relationship Id="rId36" Type="http://schemas.openxmlformats.org/officeDocument/2006/relationships/hyperlink" Target="https://ec.europa.eu/eurostat/databrowser/view/tps00199/default/table" TargetMode="External"/><Relationship Id="rId49" Type="http://schemas.openxmlformats.org/officeDocument/2006/relationships/hyperlink" Target="https://ec.europa.eu/eurostat/databrowser/product/page/sdg_08_10" TargetMode="External"/><Relationship Id="rId57" Type="http://schemas.openxmlformats.org/officeDocument/2006/relationships/hyperlink" Target="https://ec.europa.eu/eurostat/databrowser/product/page/ttr00003" TargetMode="External"/><Relationship Id="rId10" Type="http://schemas.openxmlformats.org/officeDocument/2006/relationships/hyperlink" Target="https://ec.europa.eu/eurostat/databrowser/view/sdg_11_40/default/table" TargetMode="External"/><Relationship Id="rId31" Type="http://schemas.openxmlformats.org/officeDocument/2006/relationships/hyperlink" Target="https://ec.europa.eu/eurostat/databrowser/product/page/tps00206" TargetMode="External"/><Relationship Id="rId44" Type="http://schemas.openxmlformats.org/officeDocument/2006/relationships/hyperlink" Target="https://ec.europa.eu/eurostat/databrowser/view/tec00021/default/table" TargetMode="External"/><Relationship Id="rId52" Type="http://schemas.openxmlformats.org/officeDocument/2006/relationships/hyperlink" Target="https://ec.europa.eu/eurostat/databrowser/view/tec00110/default/table" TargetMode="External"/><Relationship Id="rId60" Type="http://schemas.openxmlformats.org/officeDocument/2006/relationships/hyperlink" Target="https://ec.europa.eu/eurostat/databrowser/view/ttr00012/default/table" TargetMode="External"/><Relationship Id="rId65" Type="http://schemas.openxmlformats.org/officeDocument/2006/relationships/hyperlink" Target="https://ec.europa.eu/eurostat/databrowser/product/page/tai08" TargetMode="External"/><Relationship Id="rId73" Type="http://schemas.openxmlformats.org/officeDocument/2006/relationships/hyperlink" Target="https://hdr.undp.org/data-center/documentation-and-downloads" TargetMode="External"/><Relationship Id="rId4" Type="http://schemas.openxmlformats.org/officeDocument/2006/relationships/hyperlink" Target="https://ec.europa.eu/eurostat/databrowser/view/tec00001/default/table" TargetMode="External"/><Relationship Id="rId9" Type="http://schemas.openxmlformats.org/officeDocument/2006/relationships/hyperlink" Target="https://ec.europa.eu/eurostat/databrowser/product/page/sdg_11_40" TargetMode="External"/><Relationship Id="rId13" Type="http://schemas.openxmlformats.org/officeDocument/2006/relationships/hyperlink" Target="https://ec.europa.eu/eurostat/databrowser/product/page/sdg_12_30" TargetMode="External"/><Relationship Id="rId18" Type="http://schemas.openxmlformats.org/officeDocument/2006/relationships/hyperlink" Target="https://ec.europa.eu/eurostat/databrowser/view/sdg_07_11/default/table" TargetMode="External"/><Relationship Id="rId39" Type="http://schemas.openxmlformats.org/officeDocument/2006/relationships/hyperlink" Target="https://ec.europa.eu/eurostat/databrowser/product/page/tps00198" TargetMode="External"/><Relationship Id="rId34" Type="http://schemas.openxmlformats.org/officeDocument/2006/relationships/hyperlink" Target="https://ec.europa.eu/eurostat/databrowser/view/tps00205/default/table" TargetMode="External"/><Relationship Id="rId50" Type="http://schemas.openxmlformats.org/officeDocument/2006/relationships/hyperlink" Target="https://ec.europa.eu/eurostat/databrowser/view/sdg_08_10/default/table" TargetMode="External"/><Relationship Id="rId55" Type="http://schemas.openxmlformats.org/officeDocument/2006/relationships/hyperlink" Target="https://ec.europa.eu/eurostat/databrowser/product/page/ttr00015" TargetMode="External"/><Relationship Id="rId7" Type="http://schemas.openxmlformats.org/officeDocument/2006/relationships/hyperlink" Target="https://ec.europa.eu/eurostat/databrowser/product/page/tec00009" TargetMode="External"/><Relationship Id="rId71" Type="http://schemas.openxmlformats.org/officeDocument/2006/relationships/hyperlink" Target="https://ec.europa.eu/eurostat/databrowser/view/edat_lfse_03__custom_10705316/default/tab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09C47-31CD-4945-BAFB-0B1C8C5C9741}">
  <dimension ref="A1:AE232"/>
  <sheetViews>
    <sheetView tabSelected="1" topLeftCell="T1" zoomScale="64" zoomScaleNormal="10" workbookViewId="0">
      <pane ySplit="1" topLeftCell="A2" activePane="bottomLeft" state="frozen"/>
      <selection pane="bottomLeft" activeCell="I15" sqref="I15"/>
    </sheetView>
  </sheetViews>
  <sheetFormatPr defaultRowHeight="15.6" x14ac:dyDescent="0.3"/>
  <cols>
    <col min="1" max="1" width="19.796875" bestFit="1" customWidth="1"/>
    <col min="2" max="2" width="21.5" bestFit="1" customWidth="1"/>
    <col min="3" max="3" width="14.5" bestFit="1" customWidth="1"/>
    <col min="4" max="4" width="30.8984375" bestFit="1" customWidth="1"/>
    <col min="5" max="5" width="34.796875" bestFit="1" customWidth="1"/>
    <col min="6" max="6" width="23.19921875" bestFit="1" customWidth="1"/>
    <col min="7" max="7" width="14.296875" bestFit="1" customWidth="1"/>
    <col min="8" max="8" width="17.8984375" bestFit="1" customWidth="1"/>
    <col min="9" max="9" width="11.796875" bestFit="1" customWidth="1"/>
    <col min="10" max="10" width="19.796875" bestFit="1" customWidth="1"/>
    <col min="11" max="11" width="11.19921875" bestFit="1" customWidth="1"/>
    <col min="12" max="12" width="10.69921875" bestFit="1" customWidth="1"/>
    <col min="13" max="13" width="12.8984375" bestFit="1" customWidth="1"/>
    <col min="14" max="14" width="9.59765625" bestFit="1" customWidth="1"/>
    <col min="15" max="15" width="11.3984375" bestFit="1" customWidth="1"/>
    <col min="16" max="17" width="14.59765625" bestFit="1" customWidth="1"/>
    <col min="18" max="18" width="17.8984375" bestFit="1" customWidth="1"/>
    <col min="19" max="21" width="49.8984375" bestFit="1" customWidth="1"/>
    <col min="22" max="22" width="7" bestFit="1" customWidth="1"/>
    <col min="23" max="23" width="36.3984375" bestFit="1" customWidth="1"/>
    <col min="24" max="24" width="31.19921875" bestFit="1" customWidth="1"/>
    <col min="25" max="25" width="42" bestFit="1" customWidth="1"/>
    <col min="26" max="26" width="32.796875" bestFit="1" customWidth="1"/>
    <col min="27" max="27" width="29.5" bestFit="1" customWidth="1"/>
    <col min="28" max="28" width="32.296875" bestFit="1" customWidth="1"/>
    <col min="29" max="29" width="29" bestFit="1" customWidth="1"/>
    <col min="30" max="30" width="32.8984375" bestFit="1" customWidth="1"/>
    <col min="31" max="31" width="37.59765625" bestFit="1" customWidth="1"/>
  </cols>
  <sheetData>
    <row r="1" spans="1:31" ht="16.2" thickBot="1" x14ac:dyDescent="0.35">
      <c r="A1" s="25" t="s">
        <v>0</v>
      </c>
      <c r="B1" s="26" t="s">
        <v>404</v>
      </c>
      <c r="C1" s="28" t="s">
        <v>1</v>
      </c>
      <c r="D1" s="28" t="s">
        <v>405</v>
      </c>
      <c r="E1" s="28" t="s">
        <v>406</v>
      </c>
      <c r="F1" s="28" t="s">
        <v>407</v>
      </c>
      <c r="G1" s="28" t="s">
        <v>408</v>
      </c>
      <c r="H1" s="28" t="s">
        <v>409</v>
      </c>
      <c r="I1" s="28" t="s">
        <v>2</v>
      </c>
      <c r="J1" s="28" t="s">
        <v>410</v>
      </c>
      <c r="K1" s="28" t="s">
        <v>3</v>
      </c>
      <c r="L1" s="28" t="s">
        <v>4</v>
      </c>
      <c r="M1" s="28" t="s">
        <v>411</v>
      </c>
      <c r="N1" s="28" t="s">
        <v>5</v>
      </c>
      <c r="O1" s="28" t="s">
        <v>412</v>
      </c>
      <c r="P1" s="28" t="s">
        <v>6</v>
      </c>
      <c r="Q1" s="28" t="s">
        <v>7</v>
      </c>
      <c r="R1" s="28" t="s">
        <v>413</v>
      </c>
      <c r="S1" s="28" t="s">
        <v>414</v>
      </c>
      <c r="T1" s="28" t="s">
        <v>415</v>
      </c>
      <c r="U1" s="28" t="s">
        <v>416</v>
      </c>
      <c r="V1" s="28" t="s">
        <v>8</v>
      </c>
      <c r="W1" s="28" t="s">
        <v>9</v>
      </c>
      <c r="X1" s="28" t="s">
        <v>10</v>
      </c>
      <c r="Y1" s="28" t="s">
        <v>11</v>
      </c>
      <c r="Z1" s="28" t="s">
        <v>12</v>
      </c>
      <c r="AA1" s="28" t="s">
        <v>13</v>
      </c>
      <c r="AB1" s="28" t="s">
        <v>14</v>
      </c>
      <c r="AC1" s="28" t="s">
        <v>15</v>
      </c>
      <c r="AD1" s="28" t="s">
        <v>16</v>
      </c>
      <c r="AE1" s="28" t="s">
        <v>17</v>
      </c>
    </row>
    <row r="2" spans="1:31" x14ac:dyDescent="0.3">
      <c r="A2" s="43" t="s">
        <v>27</v>
      </c>
      <c r="B2" s="27">
        <v>3206042</v>
      </c>
      <c r="C2" s="29">
        <v>80767463</v>
      </c>
      <c r="D2" s="29">
        <v>36150</v>
      </c>
      <c r="E2" s="30">
        <v>1501769</v>
      </c>
      <c r="F2" s="30">
        <v>1563899</v>
      </c>
      <c r="G2" s="30">
        <v>4.2</v>
      </c>
      <c r="H2" s="30">
        <v>9.5</v>
      </c>
      <c r="I2" s="33">
        <v>4.8</v>
      </c>
      <c r="J2" s="33">
        <v>80.915000000000006</v>
      </c>
      <c r="K2" s="33">
        <v>1.47</v>
      </c>
      <c r="L2" s="29">
        <v>9807877</v>
      </c>
      <c r="M2" s="32">
        <v>31.6</v>
      </c>
      <c r="N2" s="32">
        <v>226.5</v>
      </c>
      <c r="O2" s="32">
        <v>33920</v>
      </c>
      <c r="P2" s="34">
        <v>1141722</v>
      </c>
      <c r="Q2" s="34">
        <v>1335472</v>
      </c>
      <c r="R2" s="34">
        <v>186445814</v>
      </c>
      <c r="S2" s="34">
        <v>19.7</v>
      </c>
      <c r="T2" s="34">
        <v>57.1</v>
      </c>
      <c r="U2" s="34">
        <v>23.2</v>
      </c>
      <c r="V2" s="34">
        <v>0.94199999999999995</v>
      </c>
      <c r="W2" s="34">
        <v>17.118400569999999</v>
      </c>
      <c r="X2" s="34">
        <v>14.03711987</v>
      </c>
      <c r="Y2" s="34">
        <v>51852.202709999998</v>
      </c>
      <c r="Z2" s="34">
        <v>0.95199999999999996</v>
      </c>
      <c r="AA2" s="34">
        <v>7.8E-2</v>
      </c>
      <c r="AB2" s="34">
        <v>4.7248975040000003</v>
      </c>
      <c r="AC2" s="34">
        <v>8.1140000000000008</v>
      </c>
      <c r="AD2" s="34">
        <v>9.7086477850000001</v>
      </c>
      <c r="AE2" s="34">
        <v>22.4984</v>
      </c>
    </row>
    <row r="3" spans="1:31" x14ac:dyDescent="0.3">
      <c r="A3" s="3" t="s">
        <v>36</v>
      </c>
      <c r="B3" s="27">
        <v>448925</v>
      </c>
      <c r="C3" s="29">
        <v>16829289</v>
      </c>
      <c r="D3" s="29">
        <v>39820</v>
      </c>
      <c r="E3" s="30">
        <v>328166</v>
      </c>
      <c r="F3" s="30">
        <v>304244</v>
      </c>
      <c r="G3" s="30">
        <v>2.8</v>
      </c>
      <c r="H3" s="30">
        <v>8.6999999999999993</v>
      </c>
      <c r="I3" s="33">
        <v>3.9</v>
      </c>
      <c r="J3" s="33">
        <v>81.641999999999996</v>
      </c>
      <c r="K3" s="33">
        <v>1.71</v>
      </c>
      <c r="L3" s="29">
        <v>1953436</v>
      </c>
      <c r="M3" s="32">
        <v>26.4</v>
      </c>
      <c r="N3" s="32">
        <v>500.9</v>
      </c>
      <c r="O3" s="32">
        <v>38580</v>
      </c>
      <c r="P3" s="34">
        <v>466572</v>
      </c>
      <c r="Q3" s="34">
        <v>541129</v>
      </c>
      <c r="R3" s="34">
        <v>60963003</v>
      </c>
      <c r="S3" s="34">
        <v>28.8</v>
      </c>
      <c r="T3" s="34">
        <v>41.4</v>
      </c>
      <c r="U3" s="34">
        <v>29.7</v>
      </c>
      <c r="V3" s="34">
        <v>0.93100000000000005</v>
      </c>
      <c r="W3" s="34">
        <v>18.159812930000001</v>
      </c>
      <c r="X3" s="34">
        <v>12.093689919999999</v>
      </c>
      <c r="Y3" s="34">
        <v>51664.463989999997</v>
      </c>
      <c r="Z3" s="34">
        <v>0.95399999999999996</v>
      </c>
      <c r="AA3" s="34">
        <v>3.7999999999999999E-2</v>
      </c>
      <c r="AB3" s="34">
        <v>5.3912890490000001</v>
      </c>
      <c r="AC3" s="34">
        <v>3.6259999999999999</v>
      </c>
      <c r="AD3" s="34">
        <v>9.2878876770000005</v>
      </c>
      <c r="AE3" s="34">
        <v>26.481000000000002</v>
      </c>
    </row>
    <row r="4" spans="1:31" x14ac:dyDescent="0.3">
      <c r="A4" s="3" t="s">
        <v>56</v>
      </c>
      <c r="B4" s="27">
        <v>3351607</v>
      </c>
      <c r="C4" s="29">
        <v>81197537</v>
      </c>
      <c r="D4" s="29">
        <v>37050</v>
      </c>
      <c r="E4" s="30">
        <v>1561976</v>
      </c>
      <c r="F4" s="30">
        <v>1602969</v>
      </c>
      <c r="G4" s="30">
        <v>4.2</v>
      </c>
      <c r="H4" s="30">
        <v>10.1</v>
      </c>
      <c r="I4" s="33">
        <v>4.9000000000000004</v>
      </c>
      <c r="J4" s="33">
        <v>80.573999999999998</v>
      </c>
      <c r="K4" s="33">
        <v>1.5</v>
      </c>
      <c r="L4" s="29">
        <v>10220418</v>
      </c>
      <c r="M4" s="32">
        <v>32</v>
      </c>
      <c r="N4" s="32">
        <v>228.4</v>
      </c>
      <c r="O4" s="32">
        <v>34130</v>
      </c>
      <c r="P4" s="34">
        <v>1190060</v>
      </c>
      <c r="Q4" s="34">
        <v>1419906</v>
      </c>
      <c r="R4" s="34">
        <v>193936430</v>
      </c>
      <c r="S4" s="34">
        <v>19.8</v>
      </c>
      <c r="T4" s="34">
        <v>56.4</v>
      </c>
      <c r="U4" s="34">
        <v>23.8</v>
      </c>
      <c r="V4" s="34">
        <v>0.94099999999999995</v>
      </c>
      <c r="W4" s="34">
        <v>17.112180710000001</v>
      </c>
      <c r="X4" s="34">
        <v>14.08201981</v>
      </c>
      <c r="Y4" s="34">
        <v>52322.297319999998</v>
      </c>
      <c r="Z4" s="34">
        <v>0.95399999999999996</v>
      </c>
      <c r="AA4" s="34">
        <v>7.8E-2</v>
      </c>
      <c r="AB4" s="34">
        <v>4.5930328889999998</v>
      </c>
      <c r="AC4" s="34">
        <v>8.3179999999999996</v>
      </c>
      <c r="AD4" s="34">
        <v>9.7240566610000005</v>
      </c>
      <c r="AE4" s="34">
        <v>21.191099999999999</v>
      </c>
    </row>
    <row r="5" spans="1:31" x14ac:dyDescent="0.3">
      <c r="A5" s="3" t="s">
        <v>69</v>
      </c>
      <c r="B5" s="27">
        <v>94919</v>
      </c>
      <c r="C5" s="29">
        <v>19870647</v>
      </c>
      <c r="D5" s="29">
        <v>8090</v>
      </c>
      <c r="E5" s="30">
        <v>51410</v>
      </c>
      <c r="F5" s="30">
        <v>98393</v>
      </c>
      <c r="G5" s="30">
        <v>9.6</v>
      </c>
      <c r="H5" s="30">
        <v>19.100000000000001</v>
      </c>
      <c r="I5" s="33">
        <v>6.3</v>
      </c>
      <c r="J5" s="33">
        <v>74.790000000000006</v>
      </c>
      <c r="K5" s="33">
        <v>1.62</v>
      </c>
      <c r="L5" s="29">
        <v>281048</v>
      </c>
      <c r="M5" s="32">
        <v>25.2</v>
      </c>
      <c r="N5" s="32">
        <v>86.1</v>
      </c>
      <c r="O5" s="32">
        <v>7420</v>
      </c>
      <c r="P5" s="34">
        <v>67596.100000000006</v>
      </c>
      <c r="Q5" s="34">
        <v>66278.2</v>
      </c>
      <c r="R5" s="34">
        <v>12580711</v>
      </c>
      <c r="S5" s="34">
        <v>29.4</v>
      </c>
      <c r="T5" s="34">
        <v>55.6</v>
      </c>
      <c r="U5" s="34">
        <v>15</v>
      </c>
      <c r="V5" s="34">
        <v>0.81299999999999994</v>
      </c>
      <c r="W5" s="34">
        <v>14.58216</v>
      </c>
      <c r="X5" s="34">
        <v>10.98408985</v>
      </c>
      <c r="Y5" s="34">
        <v>23694.01152</v>
      </c>
      <c r="Z5" s="34">
        <v>0.95499999999999996</v>
      </c>
      <c r="AA5" s="34">
        <v>0.29099999999999998</v>
      </c>
      <c r="AB5" s="34">
        <v>14.756898680000001</v>
      </c>
      <c r="AC5" s="34">
        <v>37.154000000000003</v>
      </c>
      <c r="AD5" s="34">
        <v>3.920003533</v>
      </c>
      <c r="AE5" s="34">
        <v>13.4772</v>
      </c>
    </row>
    <row r="6" spans="1:31" x14ac:dyDescent="0.3">
      <c r="A6" s="3" t="s">
        <v>123</v>
      </c>
      <c r="B6" s="27">
        <v>443530</v>
      </c>
      <c r="C6" s="29">
        <v>17081507</v>
      </c>
      <c r="D6" s="29">
        <v>43090</v>
      </c>
      <c r="E6" s="30">
        <v>352818</v>
      </c>
      <c r="F6" s="30">
        <v>327261</v>
      </c>
      <c r="G6" s="30">
        <v>3.1</v>
      </c>
      <c r="H6" s="30">
        <v>7.1</v>
      </c>
      <c r="I6" s="33">
        <v>3.8</v>
      </c>
      <c r="J6" s="33">
        <v>81.728999999999999</v>
      </c>
      <c r="K6" s="33">
        <v>1.62</v>
      </c>
      <c r="L6" s="29">
        <v>2137234</v>
      </c>
      <c r="M6" s="32">
        <v>28.4</v>
      </c>
      <c r="N6" s="32">
        <v>501.1</v>
      </c>
      <c r="O6" s="32">
        <v>40730</v>
      </c>
      <c r="P6" s="34">
        <v>536163</v>
      </c>
      <c r="Q6" s="34">
        <v>615553</v>
      </c>
      <c r="R6" s="34">
        <v>76240304</v>
      </c>
      <c r="S6" s="34">
        <v>26.6</v>
      </c>
      <c r="T6" s="34">
        <v>41.3</v>
      </c>
      <c r="U6" s="34">
        <v>32.1</v>
      </c>
      <c r="V6" s="34">
        <v>0.93600000000000005</v>
      </c>
      <c r="W6" s="34">
        <v>18.403949740000002</v>
      </c>
      <c r="X6" s="34">
        <v>12.253565310000001</v>
      </c>
      <c r="Y6" s="34">
        <v>54455.463710000004</v>
      </c>
      <c r="Z6" s="34">
        <v>0.95499999999999996</v>
      </c>
      <c r="AA6" s="34">
        <v>2.9000000000000001E-2</v>
      </c>
      <c r="AB6" s="34">
        <v>4.9763879620000004</v>
      </c>
      <c r="AC6" s="34">
        <v>2.762</v>
      </c>
      <c r="AD6" s="34">
        <v>9.4264388659999998</v>
      </c>
      <c r="AE6" s="34">
        <v>25.115300000000001</v>
      </c>
    </row>
    <row r="7" spans="1:31" x14ac:dyDescent="0.3">
      <c r="A7" s="3" t="s">
        <v>152</v>
      </c>
      <c r="B7" s="27">
        <v>445217</v>
      </c>
      <c r="C7" s="29">
        <v>17181084</v>
      </c>
      <c r="D7" s="29">
        <v>44920</v>
      </c>
      <c r="E7" s="30">
        <v>369840</v>
      </c>
      <c r="F7" s="30">
        <v>341560</v>
      </c>
      <c r="G7" s="30">
        <v>3.5</v>
      </c>
      <c r="H7" s="30">
        <v>7.3</v>
      </c>
      <c r="I7" s="33">
        <v>4.4000000000000004</v>
      </c>
      <c r="J7" s="33">
        <v>81.774000000000001</v>
      </c>
      <c r="K7" s="33">
        <v>1.59</v>
      </c>
      <c r="L7" s="29">
        <v>2215849</v>
      </c>
      <c r="M7" s="32">
        <v>29</v>
      </c>
      <c r="N7" s="32">
        <v>504</v>
      </c>
      <c r="O7" s="32">
        <v>41450</v>
      </c>
      <c r="P7" s="34">
        <v>573832</v>
      </c>
      <c r="Q7" s="34">
        <v>655439</v>
      </c>
      <c r="R7" s="34">
        <v>79644163</v>
      </c>
      <c r="S7" s="34">
        <v>26</v>
      </c>
      <c r="T7" s="34">
        <v>40.9</v>
      </c>
      <c r="U7" s="34">
        <v>33</v>
      </c>
      <c r="V7" s="34">
        <v>0.93899999999999995</v>
      </c>
      <c r="W7" s="34">
        <v>18.334209439999999</v>
      </c>
      <c r="X7" s="34">
        <v>12.323010439999999</v>
      </c>
      <c r="Y7" s="34">
        <v>55850.182339999999</v>
      </c>
      <c r="Z7" s="34">
        <v>0.95499999999999996</v>
      </c>
      <c r="AA7" s="34">
        <v>2.7E-2</v>
      </c>
      <c r="AB7" s="34">
        <v>3.9909273029999999</v>
      </c>
      <c r="AC7" s="34">
        <v>2.6110000000000002</v>
      </c>
      <c r="AD7" s="34">
        <v>9.1480687130000007</v>
      </c>
      <c r="AE7" s="34">
        <v>29.137</v>
      </c>
    </row>
    <row r="8" spans="1:31" x14ac:dyDescent="0.3">
      <c r="A8" s="3" t="s">
        <v>65</v>
      </c>
      <c r="B8" s="27">
        <v>382514</v>
      </c>
      <c r="C8" s="29">
        <v>16900726</v>
      </c>
      <c r="D8" s="29">
        <v>40730</v>
      </c>
      <c r="E8" s="30">
        <v>330267</v>
      </c>
      <c r="F8" s="30">
        <v>310816</v>
      </c>
      <c r="G8" s="30">
        <v>3.1</v>
      </c>
      <c r="H8" s="30">
        <v>8.1999999999999993</v>
      </c>
      <c r="I8" s="33">
        <v>3.8</v>
      </c>
      <c r="J8" s="33">
        <v>81.481999999999999</v>
      </c>
      <c r="K8" s="33">
        <v>1.66</v>
      </c>
      <c r="L8" s="29">
        <v>1996318</v>
      </c>
      <c r="M8" s="32">
        <v>27.2</v>
      </c>
      <c r="N8" s="32">
        <v>503.1</v>
      </c>
      <c r="O8" s="32">
        <v>39170</v>
      </c>
      <c r="P8" s="34">
        <v>518594</v>
      </c>
      <c r="Q8" s="34">
        <v>570353</v>
      </c>
      <c r="R8" s="34">
        <v>64570938</v>
      </c>
      <c r="S8" s="34">
        <v>28.4</v>
      </c>
      <c r="T8" s="34">
        <v>41.1</v>
      </c>
      <c r="U8" s="34">
        <v>30.5</v>
      </c>
      <c r="V8" s="34">
        <v>0.93200000000000005</v>
      </c>
      <c r="W8" s="34">
        <v>18.26939964</v>
      </c>
      <c r="X8" s="34">
        <v>12.13512993</v>
      </c>
      <c r="Y8" s="34">
        <v>52434.717040000003</v>
      </c>
      <c r="Z8" s="34">
        <v>0.95599999999999996</v>
      </c>
      <c r="AA8" s="34">
        <v>3.3000000000000002E-2</v>
      </c>
      <c r="AB8" s="34">
        <v>5.1552809389999998</v>
      </c>
      <c r="AC8" s="34">
        <v>3.1389999999999998</v>
      </c>
      <c r="AD8" s="34">
        <v>9.6121807110000006</v>
      </c>
      <c r="AE8" s="34">
        <v>27.523399999999999</v>
      </c>
    </row>
    <row r="9" spans="1:31" x14ac:dyDescent="0.3">
      <c r="A9" s="3" t="s">
        <v>94</v>
      </c>
      <c r="B9" s="27">
        <v>414306</v>
      </c>
      <c r="C9" s="29">
        <v>16979120</v>
      </c>
      <c r="D9" s="29">
        <v>41590</v>
      </c>
      <c r="E9" s="30">
        <v>340586</v>
      </c>
      <c r="F9" s="30">
        <v>316041</v>
      </c>
      <c r="G9" s="30">
        <v>3.1</v>
      </c>
      <c r="H9" s="30">
        <v>8</v>
      </c>
      <c r="I9" s="33">
        <v>3.8</v>
      </c>
      <c r="J9" s="33">
        <v>81.546999999999997</v>
      </c>
      <c r="K9" s="33">
        <v>1.66</v>
      </c>
      <c r="L9" s="29">
        <v>2056520</v>
      </c>
      <c r="M9" s="32">
        <v>27.8</v>
      </c>
      <c r="N9" s="32">
        <v>498.1</v>
      </c>
      <c r="O9" s="32">
        <v>39810</v>
      </c>
      <c r="P9" s="34">
        <v>491044</v>
      </c>
      <c r="Q9" s="34">
        <v>563377</v>
      </c>
      <c r="R9" s="34">
        <v>70317995</v>
      </c>
      <c r="S9" s="34">
        <v>27.9</v>
      </c>
      <c r="T9" s="34">
        <v>41.1</v>
      </c>
      <c r="U9" s="34">
        <v>31</v>
      </c>
      <c r="V9" s="34">
        <v>0.93300000000000005</v>
      </c>
      <c r="W9" s="34">
        <v>18.137620930000001</v>
      </c>
      <c r="X9" s="34">
        <v>12.184120180000001</v>
      </c>
      <c r="Y9" s="34">
        <v>52540.372779999998</v>
      </c>
      <c r="Z9" s="34">
        <v>0.95599999999999996</v>
      </c>
      <c r="AA9" s="34">
        <v>0.03</v>
      </c>
      <c r="AB9" s="34">
        <v>5.1678085109999996</v>
      </c>
      <c r="AC9" s="34">
        <v>2.9390000000000001</v>
      </c>
      <c r="AD9" s="34">
        <v>9.6172882079999997</v>
      </c>
      <c r="AE9" s="34">
        <v>26.321100000000001</v>
      </c>
    </row>
    <row r="10" spans="1:31" x14ac:dyDescent="0.3">
      <c r="A10" s="3" t="s">
        <v>181</v>
      </c>
      <c r="B10" s="27">
        <v>355431</v>
      </c>
      <c r="C10" s="29">
        <v>17282163</v>
      </c>
      <c r="D10" s="29">
        <v>46880</v>
      </c>
      <c r="E10" s="30">
        <v>388869</v>
      </c>
      <c r="F10" s="30">
        <v>353547</v>
      </c>
      <c r="G10" s="30">
        <v>3.4</v>
      </c>
      <c r="H10" s="30">
        <v>7.5</v>
      </c>
      <c r="I10" s="33">
        <v>4.4000000000000004</v>
      </c>
      <c r="J10" s="33">
        <v>82.046000000000006</v>
      </c>
      <c r="K10" s="33">
        <v>1.57</v>
      </c>
      <c r="L10" s="29">
        <v>2298705</v>
      </c>
      <c r="M10" s="32">
        <v>29.5</v>
      </c>
      <c r="N10" s="32">
        <v>507.3</v>
      </c>
      <c r="O10" s="32">
        <v>41980</v>
      </c>
      <c r="P10" s="34">
        <v>591359</v>
      </c>
      <c r="Q10" s="34">
        <v>671077</v>
      </c>
      <c r="R10" s="34">
        <v>81192507</v>
      </c>
      <c r="S10" s="34">
        <v>25.5</v>
      </c>
      <c r="T10" s="34">
        <v>39.700000000000003</v>
      </c>
      <c r="U10" s="34">
        <v>34.799999999999997</v>
      </c>
      <c r="V10" s="34">
        <v>0.94099999999999995</v>
      </c>
      <c r="W10" s="34">
        <v>18.373414990000001</v>
      </c>
      <c r="X10" s="34">
        <v>12.4523201</v>
      </c>
      <c r="Y10" s="34">
        <v>55628.176500000001</v>
      </c>
      <c r="Z10" s="34">
        <v>0.95599999999999996</v>
      </c>
      <c r="AA10" s="34">
        <v>2.8000000000000001E-2</v>
      </c>
      <c r="AB10" s="34">
        <v>3.940879426</v>
      </c>
      <c r="AC10" s="34">
        <v>2.5529999999999999</v>
      </c>
      <c r="AD10" s="34">
        <v>8.7834532470000006</v>
      </c>
      <c r="AE10" s="34">
        <v>28.395800000000001</v>
      </c>
    </row>
    <row r="11" spans="1:31" x14ac:dyDescent="0.3">
      <c r="A11" s="3" t="s">
        <v>85</v>
      </c>
      <c r="B11" s="27">
        <v>3441261</v>
      </c>
      <c r="C11" s="29">
        <v>82175684</v>
      </c>
      <c r="D11" s="29">
        <v>38070</v>
      </c>
      <c r="E11" s="30">
        <v>1622728</v>
      </c>
      <c r="F11" s="30">
        <v>1653716</v>
      </c>
      <c r="G11" s="30">
        <v>3.9</v>
      </c>
      <c r="H11" s="30">
        <v>10.3</v>
      </c>
      <c r="I11" s="33">
        <v>5</v>
      </c>
      <c r="J11" s="33">
        <v>80.846999999999994</v>
      </c>
      <c r="K11" s="33">
        <v>1.6</v>
      </c>
      <c r="L11" s="29">
        <v>10908255</v>
      </c>
      <c r="M11" s="32">
        <v>32</v>
      </c>
      <c r="N11" s="32">
        <v>233.1</v>
      </c>
      <c r="O11" s="32">
        <v>34610</v>
      </c>
      <c r="P11" s="34">
        <v>1213031</v>
      </c>
      <c r="Q11" s="34">
        <v>1444277</v>
      </c>
      <c r="R11" s="34">
        <v>200687293</v>
      </c>
      <c r="S11" s="34">
        <v>19.8</v>
      </c>
      <c r="T11" s="34">
        <v>55.7</v>
      </c>
      <c r="U11" s="34">
        <v>24.4</v>
      </c>
      <c r="V11" s="34">
        <v>0.94099999999999995</v>
      </c>
      <c r="W11" s="34">
        <v>16.875169750000001</v>
      </c>
      <c r="X11" s="34">
        <v>14.132149699999999</v>
      </c>
      <c r="Y11" s="34">
        <v>53171.299099999997</v>
      </c>
      <c r="Z11" s="34">
        <v>0.95899999999999996</v>
      </c>
      <c r="AA11" s="34">
        <v>8.5000000000000006E-2</v>
      </c>
      <c r="AB11" s="34">
        <v>5.008441071</v>
      </c>
      <c r="AC11" s="34">
        <v>9.5109999999999992</v>
      </c>
      <c r="AD11" s="34">
        <v>9.7380133949999994</v>
      </c>
      <c r="AE11" s="34">
        <v>22.201000000000001</v>
      </c>
    </row>
    <row r="12" spans="1:31" x14ac:dyDescent="0.3">
      <c r="A12" s="3" t="s">
        <v>114</v>
      </c>
      <c r="B12" s="27">
        <v>3435778</v>
      </c>
      <c r="C12" s="29">
        <v>82521653</v>
      </c>
      <c r="D12" s="29">
        <v>39530</v>
      </c>
      <c r="E12" s="30">
        <v>1693096</v>
      </c>
      <c r="F12" s="30">
        <v>1702465</v>
      </c>
      <c r="G12" s="30">
        <v>3.8</v>
      </c>
      <c r="H12" s="30">
        <v>10.1</v>
      </c>
      <c r="I12" s="33">
        <v>4.9000000000000004</v>
      </c>
      <c r="J12" s="33">
        <v>80.944000000000003</v>
      </c>
      <c r="K12" s="33">
        <v>1.57</v>
      </c>
      <c r="L12" s="29">
        <v>12105436</v>
      </c>
      <c r="M12" s="32">
        <v>32.4</v>
      </c>
      <c r="N12" s="32">
        <v>234</v>
      </c>
      <c r="O12" s="32">
        <v>35410</v>
      </c>
      <c r="P12" s="34">
        <v>1309287</v>
      </c>
      <c r="Q12" s="34">
        <v>1540892</v>
      </c>
      <c r="R12" s="34">
        <v>212389343</v>
      </c>
      <c r="S12" s="34">
        <v>19.8</v>
      </c>
      <c r="T12" s="34">
        <v>55.4</v>
      </c>
      <c r="U12" s="34">
        <v>24.8</v>
      </c>
      <c r="V12" s="34">
        <v>0.94399999999999995</v>
      </c>
      <c r="W12" s="34">
        <v>16.98994064</v>
      </c>
      <c r="X12" s="34">
        <v>14.104764940000001</v>
      </c>
      <c r="Y12" s="34">
        <v>54335.962809999997</v>
      </c>
      <c r="Z12" s="34">
        <v>0.95899999999999996</v>
      </c>
      <c r="AA12" s="34">
        <v>8.6999999999999994E-2</v>
      </c>
      <c r="AB12" s="34">
        <v>4.7329311790000004</v>
      </c>
      <c r="AC12" s="34">
        <v>8.6180000000000003</v>
      </c>
      <c r="AD12" s="34">
        <v>9.5127607259999998</v>
      </c>
      <c r="AE12" s="34">
        <v>22.616199999999999</v>
      </c>
    </row>
    <row r="13" spans="1:31" x14ac:dyDescent="0.3">
      <c r="A13" s="3" t="s">
        <v>210</v>
      </c>
      <c r="B13" s="27">
        <v>322831</v>
      </c>
      <c r="C13" s="29">
        <v>17407585</v>
      </c>
      <c r="D13" s="29">
        <v>45670</v>
      </c>
      <c r="E13" s="30">
        <v>402735</v>
      </c>
      <c r="F13" s="30">
        <v>335490</v>
      </c>
      <c r="G13" s="30">
        <v>3</v>
      </c>
      <c r="H13" s="30">
        <v>7</v>
      </c>
      <c r="I13" s="33">
        <v>2.9</v>
      </c>
      <c r="J13" s="33">
        <v>81.638000000000005</v>
      </c>
      <c r="K13" s="33">
        <v>1.54</v>
      </c>
      <c r="L13" s="29">
        <v>2399804</v>
      </c>
      <c r="M13" s="32">
        <v>30.1</v>
      </c>
      <c r="N13" s="32">
        <v>507.3</v>
      </c>
      <c r="O13" s="32">
        <v>40130</v>
      </c>
      <c r="P13" s="34">
        <v>543204</v>
      </c>
      <c r="Q13" s="34">
        <v>623408</v>
      </c>
      <c r="R13" s="34">
        <v>23594783</v>
      </c>
      <c r="S13" s="34">
        <v>24</v>
      </c>
      <c r="T13" s="34">
        <v>39.4</v>
      </c>
      <c r="U13" s="34">
        <v>36.6</v>
      </c>
      <c r="V13" s="34">
        <v>0.93799999999999994</v>
      </c>
      <c r="W13" s="34">
        <v>18.412620539999999</v>
      </c>
      <c r="X13" s="34">
        <v>12.581629749999999</v>
      </c>
      <c r="Y13" s="34">
        <v>52499.901129999998</v>
      </c>
      <c r="Z13" s="34">
        <v>0.95899999999999996</v>
      </c>
      <c r="AA13" s="34">
        <v>2.7E-2</v>
      </c>
      <c r="AB13" s="34">
        <v>4.3117389660000001</v>
      </c>
      <c r="AC13" s="34">
        <v>2.613</v>
      </c>
      <c r="AD13" s="34">
        <v>7.8398665359999997</v>
      </c>
      <c r="AE13" s="34">
        <v>28.362300000000001</v>
      </c>
    </row>
    <row r="14" spans="1:31" x14ac:dyDescent="0.3">
      <c r="A14" s="3" t="s">
        <v>143</v>
      </c>
      <c r="B14" s="27">
        <v>3607258</v>
      </c>
      <c r="C14" s="29">
        <v>82792351</v>
      </c>
      <c r="D14" s="29">
        <v>40590</v>
      </c>
      <c r="E14" s="30">
        <v>1771262</v>
      </c>
      <c r="F14" s="30">
        <v>1753390</v>
      </c>
      <c r="G14" s="30">
        <v>4</v>
      </c>
      <c r="H14" s="30">
        <v>10.3</v>
      </c>
      <c r="I14" s="33">
        <v>4.4000000000000004</v>
      </c>
      <c r="J14" s="33">
        <v>81.171999999999997</v>
      </c>
      <c r="K14" s="33">
        <v>1.57</v>
      </c>
      <c r="L14" s="29">
        <v>13745843</v>
      </c>
      <c r="M14" s="32">
        <v>32.799999999999997</v>
      </c>
      <c r="N14" s="32">
        <v>234.7</v>
      </c>
      <c r="O14" s="32">
        <v>35650</v>
      </c>
      <c r="P14" s="34">
        <v>1386936</v>
      </c>
      <c r="Q14" s="34">
        <v>1592156</v>
      </c>
      <c r="R14" s="34">
        <v>222422361</v>
      </c>
      <c r="S14" s="34">
        <v>19.600000000000001</v>
      </c>
      <c r="T14" s="34">
        <v>55.2</v>
      </c>
      <c r="U14" s="34">
        <v>25.2</v>
      </c>
      <c r="V14" s="34">
        <v>0.94599999999999995</v>
      </c>
      <c r="W14" s="34">
        <v>17.041919709999998</v>
      </c>
      <c r="X14" s="34">
        <v>14.07738018</v>
      </c>
      <c r="Y14" s="34">
        <v>55226.694069999998</v>
      </c>
      <c r="Z14" s="34">
        <v>0.96099999999999997</v>
      </c>
      <c r="AA14" s="34">
        <v>8.3000000000000004E-2</v>
      </c>
      <c r="AB14" s="34">
        <v>4.7063682760000001</v>
      </c>
      <c r="AC14" s="34">
        <v>8.0039999999999996</v>
      </c>
      <c r="AD14" s="34">
        <v>9.1054425139999999</v>
      </c>
      <c r="AE14" s="34">
        <v>21.134399999999999</v>
      </c>
    </row>
    <row r="15" spans="1:31" x14ac:dyDescent="0.3">
      <c r="A15" s="3" t="s">
        <v>238</v>
      </c>
      <c r="B15" s="27">
        <v>384841</v>
      </c>
      <c r="C15" s="29">
        <v>17475415</v>
      </c>
      <c r="D15" s="29">
        <v>49650</v>
      </c>
      <c r="E15" s="30">
        <v>419346</v>
      </c>
      <c r="F15" s="30">
        <v>360910</v>
      </c>
      <c r="G15" s="30">
        <v>2.9</v>
      </c>
      <c r="H15" s="30">
        <v>5.0999999999999996</v>
      </c>
      <c r="I15" s="33">
        <v>3.2</v>
      </c>
      <c r="J15" s="33">
        <v>81.686999999999998</v>
      </c>
      <c r="K15" s="33">
        <v>1.62</v>
      </c>
      <c r="L15" s="29">
        <v>2451157</v>
      </c>
      <c r="M15" s="32">
        <v>30.6</v>
      </c>
      <c r="N15" s="32">
        <v>510.2</v>
      </c>
      <c r="O15" s="32">
        <v>42390</v>
      </c>
      <c r="P15" s="34">
        <v>634231</v>
      </c>
      <c r="Q15" s="34">
        <v>732209</v>
      </c>
      <c r="R15" s="34">
        <v>29082583</v>
      </c>
      <c r="S15" s="34">
        <v>23.6</v>
      </c>
      <c r="T15" s="34">
        <v>38.9</v>
      </c>
      <c r="U15" s="34">
        <v>37.5</v>
      </c>
      <c r="V15" s="34">
        <v>0.94099999999999995</v>
      </c>
      <c r="W15" s="34">
        <v>18.583480829999999</v>
      </c>
      <c r="X15" s="34">
        <v>12.581629749999999</v>
      </c>
      <c r="Y15" s="34">
        <v>55354.904170000002</v>
      </c>
      <c r="Z15" s="34">
        <v>0.96099999999999997</v>
      </c>
      <c r="AA15" s="34">
        <v>2.4E-2</v>
      </c>
      <c r="AB15" s="34">
        <v>4.3117389660000001</v>
      </c>
      <c r="AC15" s="34">
        <v>2.8039999999999998</v>
      </c>
      <c r="AD15" s="34">
        <v>7.9939109899999998</v>
      </c>
      <c r="AE15" s="34">
        <v>29.9954</v>
      </c>
    </row>
    <row r="16" spans="1:31" x14ac:dyDescent="0.3">
      <c r="A16" s="3" t="s">
        <v>172</v>
      </c>
      <c r="B16" s="27">
        <v>2917678</v>
      </c>
      <c r="C16" s="29">
        <v>83019213</v>
      </c>
      <c r="D16" s="29">
        <v>41810</v>
      </c>
      <c r="E16" s="30">
        <v>1853439</v>
      </c>
      <c r="F16" s="30">
        <v>1804533</v>
      </c>
      <c r="G16" s="30">
        <v>3.7</v>
      </c>
      <c r="H16" s="30">
        <v>10.3</v>
      </c>
      <c r="I16" s="33">
        <v>4.4000000000000004</v>
      </c>
      <c r="J16" s="33">
        <v>81.558000000000007</v>
      </c>
      <c r="K16" s="33">
        <v>1.54</v>
      </c>
      <c r="L16" s="29">
        <v>14879635</v>
      </c>
      <c r="M16" s="32">
        <v>33.200000000000003</v>
      </c>
      <c r="N16" s="32">
        <v>235.2</v>
      </c>
      <c r="O16" s="32">
        <v>35950</v>
      </c>
      <c r="P16" s="34">
        <v>1431014</v>
      </c>
      <c r="Q16" s="34">
        <v>1637264</v>
      </c>
      <c r="R16" s="34">
        <v>226764086</v>
      </c>
      <c r="S16" s="34">
        <v>19.5</v>
      </c>
      <c r="T16" s="34">
        <v>54.5</v>
      </c>
      <c r="U16" s="34">
        <v>26</v>
      </c>
      <c r="V16" s="34">
        <v>0.95099999999999996</v>
      </c>
      <c r="W16" s="34">
        <v>17.224380490000001</v>
      </c>
      <c r="X16" s="34">
        <v>14.166660309999999</v>
      </c>
      <c r="Y16" s="34">
        <v>55685.011700000003</v>
      </c>
      <c r="Z16" s="34">
        <v>0.96199999999999997</v>
      </c>
      <c r="AA16" s="34">
        <v>7.9000000000000001E-2</v>
      </c>
      <c r="AB16" s="34">
        <v>4.449960023</v>
      </c>
      <c r="AC16" s="34">
        <v>7.524</v>
      </c>
      <c r="AD16" s="34">
        <v>8.5088059880000007</v>
      </c>
      <c r="AE16" s="34">
        <v>19.263300000000001</v>
      </c>
    </row>
    <row r="17" spans="1:31" x14ac:dyDescent="0.3">
      <c r="A17" s="3" t="s">
        <v>201</v>
      </c>
      <c r="B17" s="27">
        <v>2622132</v>
      </c>
      <c r="C17" s="29">
        <v>83166711</v>
      </c>
      <c r="D17" s="29">
        <v>40930</v>
      </c>
      <c r="E17" s="30">
        <v>1848583</v>
      </c>
      <c r="F17" s="30">
        <v>1708666</v>
      </c>
      <c r="G17" s="30">
        <v>3.3</v>
      </c>
      <c r="H17" s="30">
        <v>10.1</v>
      </c>
      <c r="I17" s="33">
        <v>4.5</v>
      </c>
      <c r="J17" s="33">
        <v>81.147000000000006</v>
      </c>
      <c r="K17" s="33">
        <v>1.53</v>
      </c>
      <c r="L17" s="29">
        <v>15040708</v>
      </c>
      <c r="M17" s="32">
        <v>33.700000000000003</v>
      </c>
      <c r="N17" s="32">
        <v>235.2</v>
      </c>
      <c r="O17" s="32">
        <v>34550</v>
      </c>
      <c r="P17" s="34">
        <v>1282198</v>
      </c>
      <c r="Q17" s="34">
        <v>1479839</v>
      </c>
      <c r="R17" s="34">
        <v>57795978</v>
      </c>
      <c r="S17" s="34">
        <v>20</v>
      </c>
      <c r="T17" s="34">
        <v>52.8</v>
      </c>
      <c r="U17" s="34">
        <v>27.2</v>
      </c>
      <c r="V17" s="34">
        <v>0.94799999999999995</v>
      </c>
      <c r="W17" s="34">
        <v>17.225980759999999</v>
      </c>
      <c r="X17" s="34">
        <v>14.25594044</v>
      </c>
      <c r="Y17" s="34">
        <v>53374.575810000002</v>
      </c>
      <c r="Z17" s="34">
        <v>0.96199999999999997</v>
      </c>
      <c r="AA17" s="34">
        <v>7.8E-2</v>
      </c>
      <c r="AB17" s="34">
        <v>4.4284403230000002</v>
      </c>
      <c r="AC17" s="34">
        <v>7.4169999999999998</v>
      </c>
      <c r="AD17" s="34">
        <v>7.7674326249999996</v>
      </c>
      <c r="AE17" s="34">
        <v>18.9969</v>
      </c>
    </row>
    <row r="18" spans="1:31" x14ac:dyDescent="0.3">
      <c r="A18" s="3" t="s">
        <v>40</v>
      </c>
      <c r="B18" s="27">
        <v>81162</v>
      </c>
      <c r="C18" s="29">
        <v>19947311</v>
      </c>
      <c r="D18" s="29">
        <v>7560</v>
      </c>
      <c r="E18" s="30">
        <v>49056.9</v>
      </c>
      <c r="F18" s="30">
        <v>91849.4</v>
      </c>
      <c r="G18" s="30">
        <v>9.1</v>
      </c>
      <c r="H18" s="30">
        <v>18.100000000000001</v>
      </c>
      <c r="I18" s="33">
        <v>5.9</v>
      </c>
      <c r="J18" s="33">
        <v>74.927999999999997</v>
      </c>
      <c r="K18" s="33">
        <v>1.56</v>
      </c>
      <c r="L18" s="29">
        <v>211210</v>
      </c>
      <c r="M18" s="32">
        <v>24.3</v>
      </c>
      <c r="N18" s="32">
        <v>86.6</v>
      </c>
      <c r="O18" s="32">
        <v>7160</v>
      </c>
      <c r="P18" s="34">
        <v>63069.2</v>
      </c>
      <c r="Q18" s="34">
        <v>62434.400000000001</v>
      </c>
      <c r="R18" s="34">
        <v>10907487</v>
      </c>
      <c r="S18" s="34">
        <v>31.2</v>
      </c>
      <c r="T18" s="34">
        <v>54.6</v>
      </c>
      <c r="U18" s="34">
        <v>14.2</v>
      </c>
      <c r="V18" s="34">
        <v>0.81100000000000005</v>
      </c>
      <c r="W18" s="34">
        <v>14.617893219999999</v>
      </c>
      <c r="X18" s="34">
        <v>10.85933971</v>
      </c>
      <c r="Y18" s="34">
        <v>23013.09878</v>
      </c>
      <c r="Z18" s="34">
        <v>0.96299999999999997</v>
      </c>
      <c r="AA18" s="34">
        <v>0.29299999999999998</v>
      </c>
      <c r="AB18" s="34">
        <v>15.44100188</v>
      </c>
      <c r="AC18" s="34">
        <v>36.567999999999998</v>
      </c>
      <c r="AD18" s="34">
        <v>3.957168883</v>
      </c>
      <c r="AE18" s="34">
        <v>12.6031</v>
      </c>
    </row>
    <row r="19" spans="1:31" x14ac:dyDescent="0.3">
      <c r="A19" s="3" t="s">
        <v>61</v>
      </c>
      <c r="B19" s="27">
        <v>1825892</v>
      </c>
      <c r="C19" s="29">
        <v>60795612</v>
      </c>
      <c r="D19" s="29">
        <v>27480</v>
      </c>
      <c r="E19" s="30">
        <v>651583.19999999995</v>
      </c>
      <c r="F19" s="30">
        <v>1005936.2</v>
      </c>
      <c r="G19" s="30">
        <v>5.6</v>
      </c>
      <c r="H19" s="30">
        <v>14.7</v>
      </c>
      <c r="I19" s="33">
        <v>3.2</v>
      </c>
      <c r="J19" s="33">
        <v>82.525000000000006</v>
      </c>
      <c r="K19" s="33">
        <v>1.35</v>
      </c>
      <c r="L19" s="29">
        <v>5805328</v>
      </c>
      <c r="M19" s="32">
        <v>33.700000000000003</v>
      </c>
      <c r="N19" s="32">
        <v>205.8</v>
      </c>
      <c r="O19" s="32">
        <v>25860</v>
      </c>
      <c r="P19" s="34">
        <v>442016.1</v>
      </c>
      <c r="Q19" s="34">
        <v>491905</v>
      </c>
      <c r="R19" s="34">
        <v>127665221</v>
      </c>
      <c r="S19" s="34">
        <v>41.9</v>
      </c>
      <c r="T19" s="34">
        <v>42.7</v>
      </c>
      <c r="U19" s="34">
        <v>15.5</v>
      </c>
      <c r="V19" s="34">
        <v>0.88100000000000001</v>
      </c>
      <c r="W19" s="34">
        <v>15.95431995</v>
      </c>
      <c r="X19" s="34">
        <v>10.305959700000001</v>
      </c>
      <c r="Y19" s="34">
        <v>39968.616889999998</v>
      </c>
      <c r="Z19" s="34">
        <v>0.96299999999999997</v>
      </c>
      <c r="AA19" s="34">
        <v>7.9000000000000001E-2</v>
      </c>
      <c r="AB19" s="34">
        <v>6.5016062359999998</v>
      </c>
      <c r="AC19" s="34">
        <v>5.2140000000000004</v>
      </c>
      <c r="AD19" s="34">
        <v>6.0089396979999998</v>
      </c>
      <c r="AE19" s="34">
        <v>14.686299999999999</v>
      </c>
    </row>
    <row r="20" spans="1:31" x14ac:dyDescent="0.3">
      <c r="A20" s="3" t="s">
        <v>47</v>
      </c>
      <c r="B20" s="27">
        <v>329604</v>
      </c>
      <c r="C20" s="29">
        <v>8584926</v>
      </c>
      <c r="D20" s="29">
        <v>39890</v>
      </c>
      <c r="E20" s="30">
        <v>163660.9</v>
      </c>
      <c r="F20" s="30">
        <v>181370.8</v>
      </c>
      <c r="G20" s="30">
        <v>5.5</v>
      </c>
      <c r="H20" s="30">
        <v>7.3</v>
      </c>
      <c r="I20" s="33">
        <v>5.0999999999999996</v>
      </c>
      <c r="J20" s="33">
        <v>81.159000000000006</v>
      </c>
      <c r="K20" s="33">
        <v>1.49</v>
      </c>
      <c r="L20" s="29">
        <v>1483123</v>
      </c>
      <c r="M20" s="32">
        <v>27.4</v>
      </c>
      <c r="N20" s="32">
        <v>104.9</v>
      </c>
      <c r="O20" s="32">
        <v>36140</v>
      </c>
      <c r="P20" s="34">
        <v>169856.4</v>
      </c>
      <c r="Q20" s="34">
        <v>182769.3</v>
      </c>
      <c r="R20" s="34">
        <v>26754007</v>
      </c>
      <c r="S20" s="34">
        <v>19.600000000000001</v>
      </c>
      <c r="T20" s="34">
        <v>52.3</v>
      </c>
      <c r="U20" s="34">
        <v>28.1</v>
      </c>
      <c r="V20" s="34">
        <v>0.91</v>
      </c>
      <c r="W20" s="34">
        <v>16.03313065</v>
      </c>
      <c r="X20" s="34">
        <v>12.07699013</v>
      </c>
      <c r="Y20" s="34">
        <v>52352.33627</v>
      </c>
      <c r="Z20" s="34">
        <v>0.96399999999999997</v>
      </c>
      <c r="AA20" s="34">
        <v>8.4000000000000005E-2</v>
      </c>
      <c r="AB20" s="34">
        <v>5.6714498390000001</v>
      </c>
      <c r="AC20" s="34">
        <v>7.9130000000000003</v>
      </c>
      <c r="AD20" s="34">
        <v>7.6790519689999996</v>
      </c>
      <c r="AE20" s="34">
        <v>24.808199999999999</v>
      </c>
    </row>
    <row r="21" spans="1:31" x14ac:dyDescent="0.3">
      <c r="A21" s="3" t="s">
        <v>119</v>
      </c>
      <c r="B21" s="27">
        <v>1910701</v>
      </c>
      <c r="C21" s="29">
        <v>60589445</v>
      </c>
      <c r="D21" s="29">
        <v>28940</v>
      </c>
      <c r="E21" s="30">
        <v>684054.1</v>
      </c>
      <c r="F21" s="30">
        <v>1046341.5</v>
      </c>
      <c r="G21" s="30">
        <v>5.6</v>
      </c>
      <c r="H21" s="30">
        <v>14</v>
      </c>
      <c r="I21" s="33">
        <v>3.2</v>
      </c>
      <c r="J21" s="33">
        <v>82.727999999999994</v>
      </c>
      <c r="K21" s="33">
        <v>1.32</v>
      </c>
      <c r="L21" s="29">
        <v>6020614</v>
      </c>
      <c r="M21" s="32">
        <v>34.799999999999997</v>
      </c>
      <c r="N21" s="32">
        <v>203.3</v>
      </c>
      <c r="O21" s="32">
        <v>26730</v>
      </c>
      <c r="P21" s="34">
        <v>483996.1</v>
      </c>
      <c r="Q21" s="34">
        <v>533719.80000000005</v>
      </c>
      <c r="R21" s="34">
        <v>144306325</v>
      </c>
      <c r="S21" s="34">
        <v>40.9</v>
      </c>
      <c r="T21" s="34">
        <v>42.6</v>
      </c>
      <c r="U21" s="34">
        <v>16.5</v>
      </c>
      <c r="V21" s="34">
        <v>0.88900000000000001</v>
      </c>
      <c r="W21" s="34">
        <v>16.148620609999998</v>
      </c>
      <c r="X21" s="34">
        <v>10.479619980000001</v>
      </c>
      <c r="Y21" s="34">
        <v>41812.973729999998</v>
      </c>
      <c r="Z21" s="34">
        <v>0.96399999999999997</v>
      </c>
      <c r="AA21" s="34">
        <v>7.0000000000000007E-2</v>
      </c>
      <c r="AB21" s="34">
        <v>6.3658936539999997</v>
      </c>
      <c r="AC21" s="34">
        <v>4.4379999999999997</v>
      </c>
      <c r="AD21" s="34">
        <v>5.8899141979999996</v>
      </c>
      <c r="AE21" s="34">
        <v>16.4634</v>
      </c>
    </row>
    <row r="22" spans="1:31" x14ac:dyDescent="0.3">
      <c r="A22" s="3" t="s">
        <v>103</v>
      </c>
      <c r="B22" s="27">
        <v>311996</v>
      </c>
      <c r="C22" s="29">
        <v>8327126</v>
      </c>
      <c r="D22" s="29">
        <v>74260</v>
      </c>
      <c r="E22" s="30">
        <v>361323.2</v>
      </c>
      <c r="F22" s="30">
        <v>328625.09999999998</v>
      </c>
      <c r="G22" s="30">
        <v>2.6</v>
      </c>
      <c r="H22" s="30">
        <v>4.9000000000000004</v>
      </c>
      <c r="I22" s="33">
        <v>5</v>
      </c>
      <c r="J22" s="33">
        <v>83.444999999999993</v>
      </c>
      <c r="K22" s="33">
        <v>1.54</v>
      </c>
      <c r="L22" s="29">
        <v>2324461</v>
      </c>
      <c r="M22" s="32">
        <v>26.7</v>
      </c>
      <c r="N22" s="32">
        <v>210.1</v>
      </c>
      <c r="O22" s="32">
        <v>60170</v>
      </c>
      <c r="P22" s="34">
        <v>352840.5</v>
      </c>
      <c r="Q22" s="34">
        <v>415449.3</v>
      </c>
      <c r="R22" s="34">
        <v>50505492</v>
      </c>
      <c r="S22" s="34">
        <v>18.2</v>
      </c>
      <c r="T22" s="34">
        <v>46.3</v>
      </c>
      <c r="U22" s="34">
        <v>35.4</v>
      </c>
      <c r="V22" s="34">
        <v>0.95399999999999996</v>
      </c>
      <c r="W22" s="34">
        <v>16.134290700000001</v>
      </c>
      <c r="X22" s="34">
        <v>13.666680339999999</v>
      </c>
      <c r="Y22" s="34">
        <v>67496.494189999998</v>
      </c>
      <c r="Z22" s="34">
        <v>0.96499999999999997</v>
      </c>
      <c r="AA22" s="34">
        <v>3.9E-2</v>
      </c>
      <c r="AB22" s="34">
        <v>8.0564121689999997</v>
      </c>
      <c r="AC22" s="34">
        <v>2.8740000000000001</v>
      </c>
      <c r="AD22" s="34">
        <v>4.6792162040000003</v>
      </c>
      <c r="AE22" s="34">
        <v>34.023600000000002</v>
      </c>
    </row>
    <row r="23" spans="1:31" x14ac:dyDescent="0.3">
      <c r="A23" s="3" t="s">
        <v>148</v>
      </c>
      <c r="B23" s="27">
        <v>1916951</v>
      </c>
      <c r="C23" s="29">
        <v>60483973</v>
      </c>
      <c r="D23" s="29">
        <v>29580</v>
      </c>
      <c r="E23" s="30">
        <v>706977.7</v>
      </c>
      <c r="F23" s="30">
        <v>1066167</v>
      </c>
      <c r="G23" s="30">
        <v>5.5</v>
      </c>
      <c r="H23" s="30">
        <v>14.5</v>
      </c>
      <c r="I23" s="33">
        <v>4.4000000000000004</v>
      </c>
      <c r="J23" s="33">
        <v>83.185000000000002</v>
      </c>
      <c r="K23" s="33">
        <v>1.29</v>
      </c>
      <c r="L23" s="29">
        <v>6175337</v>
      </c>
      <c r="M23" s="32">
        <v>35.200000000000003</v>
      </c>
      <c r="N23" s="32">
        <v>202.9</v>
      </c>
      <c r="O23" s="32">
        <v>27030</v>
      </c>
      <c r="P23" s="34">
        <v>512817.7</v>
      </c>
      <c r="Q23" s="34">
        <v>555394.1</v>
      </c>
      <c r="R23" s="34">
        <v>153352444</v>
      </c>
      <c r="S23" s="34">
        <v>40.299999999999997</v>
      </c>
      <c r="T23" s="34">
        <v>42.6</v>
      </c>
      <c r="U23" s="34">
        <v>17.100000000000001</v>
      </c>
      <c r="V23" s="34">
        <v>0.89400000000000002</v>
      </c>
      <c r="W23" s="34">
        <v>16.288070680000001</v>
      </c>
      <c r="X23" s="34">
        <v>10.566450120000001</v>
      </c>
      <c r="Y23" s="34">
        <v>42510.729189999998</v>
      </c>
      <c r="Z23" s="34">
        <v>0.96499999999999997</v>
      </c>
      <c r="AA23" s="34">
        <v>5.7000000000000002E-2</v>
      </c>
      <c r="AB23" s="34">
        <v>4.8875343429999996</v>
      </c>
      <c r="AC23" s="34">
        <v>4.133</v>
      </c>
      <c r="AD23" s="34">
        <v>5.8423838369999999</v>
      </c>
      <c r="AE23" s="34">
        <v>16.312000000000001</v>
      </c>
    </row>
    <row r="24" spans="1:31" x14ac:dyDescent="0.3">
      <c r="A24" s="3" t="s">
        <v>229</v>
      </c>
      <c r="B24" s="27">
        <v>2963748</v>
      </c>
      <c r="C24" s="29">
        <v>83155031</v>
      </c>
      <c r="D24" s="29">
        <v>43480</v>
      </c>
      <c r="E24" s="30">
        <v>1913780</v>
      </c>
      <c r="F24" s="30">
        <v>1785490</v>
      </c>
      <c r="G24" s="30">
        <v>3.1</v>
      </c>
      <c r="H24" s="30">
        <v>12.5</v>
      </c>
      <c r="I24" s="33">
        <v>4.3</v>
      </c>
      <c r="J24" s="33">
        <v>80.63</v>
      </c>
      <c r="K24" s="33">
        <v>1.58</v>
      </c>
      <c r="L24" s="29">
        <v>15162728</v>
      </c>
      <c r="M24" s="32">
        <v>34.200000000000003</v>
      </c>
      <c r="N24" s="32">
        <v>235.4</v>
      </c>
      <c r="O24" s="32">
        <v>35630</v>
      </c>
      <c r="P24" s="34">
        <v>1515045</v>
      </c>
      <c r="Q24" s="34">
        <v>1710313</v>
      </c>
      <c r="R24" s="34">
        <v>73597370</v>
      </c>
      <c r="S24" s="34">
        <v>22</v>
      </c>
      <c r="T24" s="34">
        <v>50</v>
      </c>
      <c r="U24" s="34">
        <v>28</v>
      </c>
      <c r="V24" s="34">
        <v>0.94799999999999995</v>
      </c>
      <c r="W24" s="34">
        <v>17.343349459999999</v>
      </c>
      <c r="X24" s="34">
        <v>14.25594044</v>
      </c>
      <c r="Y24" s="34">
        <v>55056.696620000002</v>
      </c>
      <c r="Z24" s="34">
        <v>0.96499999999999997</v>
      </c>
      <c r="AA24" s="34">
        <v>7.3999999999999996E-2</v>
      </c>
      <c r="AB24" s="34">
        <v>4.4284403230000002</v>
      </c>
      <c r="AC24" s="34">
        <v>7.4649999999999999</v>
      </c>
      <c r="AD24" s="34">
        <v>8.1382408329999993</v>
      </c>
      <c r="AE24" s="34">
        <v>20.081199999999999</v>
      </c>
    </row>
    <row r="25" spans="1:31" x14ac:dyDescent="0.3">
      <c r="A25" s="3" t="s">
        <v>18</v>
      </c>
      <c r="B25" s="27">
        <v>308555</v>
      </c>
      <c r="C25" s="29">
        <v>8507786</v>
      </c>
      <c r="D25" s="29">
        <v>38990</v>
      </c>
      <c r="E25" s="30">
        <v>158788.9</v>
      </c>
      <c r="F25" s="30">
        <v>177888.2</v>
      </c>
      <c r="G25" s="30">
        <v>5</v>
      </c>
      <c r="H25" s="30">
        <v>7</v>
      </c>
      <c r="I25" s="33">
        <v>4.4000000000000004</v>
      </c>
      <c r="J25" s="33">
        <v>81.39</v>
      </c>
      <c r="K25" s="33">
        <v>1.46</v>
      </c>
      <c r="L25" s="29">
        <v>1414215</v>
      </c>
      <c r="M25" s="32">
        <v>27.2</v>
      </c>
      <c r="N25" s="32">
        <v>103.7</v>
      </c>
      <c r="O25" s="32">
        <v>36130</v>
      </c>
      <c r="P25" s="34">
        <v>166962.70000000001</v>
      </c>
      <c r="Q25" s="34">
        <v>177855.3</v>
      </c>
      <c r="R25" s="34">
        <v>26378676</v>
      </c>
      <c r="S25" s="34">
        <v>20.3</v>
      </c>
      <c r="T25" s="34">
        <v>52.4</v>
      </c>
      <c r="U25" s="34">
        <v>27.4</v>
      </c>
      <c r="V25" s="34">
        <v>0.91100000000000003</v>
      </c>
      <c r="W25" s="34">
        <v>16.022249219999999</v>
      </c>
      <c r="X25" s="34">
        <v>12.01449966</v>
      </c>
      <c r="Y25" s="34">
        <v>53001.219440000001</v>
      </c>
      <c r="Z25" s="34">
        <v>0.96599999999999997</v>
      </c>
      <c r="AA25" s="34">
        <v>8.2000000000000003E-2</v>
      </c>
      <c r="AB25" s="34">
        <v>5.915213488</v>
      </c>
      <c r="AC25" s="34">
        <v>7.9470000000000001</v>
      </c>
      <c r="AD25" s="34">
        <v>7.509408423</v>
      </c>
      <c r="AE25" s="34">
        <v>26.1661</v>
      </c>
    </row>
    <row r="26" spans="1:31" x14ac:dyDescent="0.3">
      <c r="A26" s="3" t="s">
        <v>32</v>
      </c>
      <c r="B26" s="27">
        <v>1569085</v>
      </c>
      <c r="C26" s="29">
        <v>60782668</v>
      </c>
      <c r="D26" s="29">
        <v>26980</v>
      </c>
      <c r="E26" s="30">
        <v>638359.4</v>
      </c>
      <c r="F26" s="30">
        <v>986309.5</v>
      </c>
      <c r="G26" s="30">
        <v>5.6</v>
      </c>
      <c r="H26" s="30">
        <v>15</v>
      </c>
      <c r="I26" s="33">
        <v>3.1</v>
      </c>
      <c r="J26" s="33">
        <v>82.908000000000001</v>
      </c>
      <c r="K26" s="33">
        <v>1.37</v>
      </c>
      <c r="L26" s="29">
        <v>5737213</v>
      </c>
      <c r="M26" s="32">
        <v>33.1</v>
      </c>
      <c r="N26" s="32">
        <v>206</v>
      </c>
      <c r="O26" s="32">
        <v>25620</v>
      </c>
      <c r="P26" s="34">
        <v>426596.5</v>
      </c>
      <c r="Q26" s="34">
        <v>473718.7</v>
      </c>
      <c r="R26" s="34">
        <v>121164587</v>
      </c>
      <c r="S26" s="34">
        <v>42.3</v>
      </c>
      <c r="T26" s="34">
        <v>42.7</v>
      </c>
      <c r="U26" s="34">
        <v>15</v>
      </c>
      <c r="V26" s="34">
        <v>0.88200000000000001</v>
      </c>
      <c r="W26" s="34">
        <v>15.963979719999999</v>
      </c>
      <c r="X26" s="34">
        <v>10.221859930000001</v>
      </c>
      <c r="Y26" s="34">
        <v>39901.022490000003</v>
      </c>
      <c r="Z26" s="34">
        <v>0.96599999999999997</v>
      </c>
      <c r="AA26" s="34">
        <v>8.2000000000000003E-2</v>
      </c>
      <c r="AB26" s="34">
        <v>6.4627868069999996</v>
      </c>
      <c r="AC26" s="34">
        <v>5.6749999999999998</v>
      </c>
      <c r="AD26" s="34">
        <v>5.8042191709999997</v>
      </c>
      <c r="AE26" s="34">
        <v>16.045999999999999</v>
      </c>
    </row>
    <row r="27" spans="1:31" x14ac:dyDescent="0.3">
      <c r="A27" s="3" t="s">
        <v>45</v>
      </c>
      <c r="B27" s="27">
        <v>321669</v>
      </c>
      <c r="C27" s="29">
        <v>8139631</v>
      </c>
      <c r="D27" s="29">
        <v>66920</v>
      </c>
      <c r="E27" s="30">
        <v>314522</v>
      </c>
      <c r="F27" s="30">
        <v>287729.8</v>
      </c>
      <c r="G27" s="30">
        <v>3</v>
      </c>
      <c r="H27" s="30">
        <v>5.6</v>
      </c>
      <c r="I27" s="33">
        <v>5.0999999999999996</v>
      </c>
      <c r="J27" s="33">
        <v>83.084999999999994</v>
      </c>
      <c r="K27" s="33">
        <v>1.54</v>
      </c>
      <c r="L27" s="29">
        <v>2183206</v>
      </c>
      <c r="M27" s="32">
        <v>26.1</v>
      </c>
      <c r="N27" s="32">
        <v>204.7</v>
      </c>
      <c r="O27" s="32">
        <v>59300</v>
      </c>
      <c r="P27" s="34">
        <v>300729.3</v>
      </c>
      <c r="Q27" s="34">
        <v>358057.7</v>
      </c>
      <c r="R27" s="34">
        <v>46127426</v>
      </c>
      <c r="S27" s="34">
        <v>18.7</v>
      </c>
      <c r="T27" s="34">
        <v>48.3</v>
      </c>
      <c r="U27" s="34">
        <v>32.9</v>
      </c>
      <c r="V27" s="34">
        <v>0.95099999999999996</v>
      </c>
      <c r="W27" s="34">
        <v>16.089719769999999</v>
      </c>
      <c r="X27" s="34">
        <v>13.64011002</v>
      </c>
      <c r="Y27" s="34">
        <v>66835.763120000003</v>
      </c>
      <c r="Z27" s="34">
        <v>0.96599999999999997</v>
      </c>
      <c r="AA27" s="34">
        <v>4.2000000000000003E-2</v>
      </c>
      <c r="AB27" s="34">
        <v>6.7010066999999998</v>
      </c>
      <c r="AC27" s="34">
        <v>3.0609999999999999</v>
      </c>
      <c r="AD27" s="34">
        <v>4.7911091040000002</v>
      </c>
      <c r="AE27" s="34">
        <v>34.953400000000002</v>
      </c>
    </row>
    <row r="28" spans="1:31" x14ac:dyDescent="0.3">
      <c r="A28" s="3" t="s">
        <v>90</v>
      </c>
      <c r="B28" s="27">
        <v>1971345</v>
      </c>
      <c r="C28" s="29">
        <v>60665551</v>
      </c>
      <c r="D28" s="29">
        <v>28210</v>
      </c>
      <c r="E28" s="30">
        <v>667222.19999999995</v>
      </c>
      <c r="F28" s="30">
        <v>1019578.7</v>
      </c>
      <c r="G28" s="30">
        <v>5.4</v>
      </c>
      <c r="H28" s="30">
        <v>13.8</v>
      </c>
      <c r="I28" s="33">
        <v>3.4</v>
      </c>
      <c r="J28" s="33">
        <v>83.049000000000007</v>
      </c>
      <c r="K28" s="33">
        <v>1.34</v>
      </c>
      <c r="L28" s="29">
        <v>5907452</v>
      </c>
      <c r="M28" s="32">
        <v>34.299999999999997</v>
      </c>
      <c r="N28" s="32">
        <v>205.4</v>
      </c>
      <c r="O28" s="32">
        <v>26240</v>
      </c>
      <c r="P28" s="34">
        <v>441578</v>
      </c>
      <c r="Q28" s="34">
        <v>497338.5</v>
      </c>
      <c r="R28" s="34">
        <v>134477781</v>
      </c>
      <c r="S28" s="34">
        <v>41.6</v>
      </c>
      <c r="T28" s="34">
        <v>42.7</v>
      </c>
      <c r="U28" s="34">
        <v>15.7</v>
      </c>
      <c r="V28" s="34">
        <v>0.88600000000000001</v>
      </c>
      <c r="W28" s="34">
        <v>15.952599530000001</v>
      </c>
      <c r="X28" s="34">
        <v>10.392789840000001</v>
      </c>
      <c r="Y28" s="34">
        <v>40954.973400000003</v>
      </c>
      <c r="Z28" s="34">
        <v>0.96599999999999997</v>
      </c>
      <c r="AA28" s="34">
        <v>7.4999999999999997E-2</v>
      </c>
      <c r="AB28" s="34">
        <v>6.3154585259999996</v>
      </c>
      <c r="AC28" s="34">
        <v>4.883</v>
      </c>
      <c r="AD28" s="34">
        <v>5.9684331439999996</v>
      </c>
      <c r="AE28" s="34">
        <v>15.4863</v>
      </c>
    </row>
    <row r="29" spans="1:31" x14ac:dyDescent="0.3">
      <c r="A29" s="3" t="s">
        <v>105</v>
      </c>
      <c r="B29" s="27">
        <v>341068</v>
      </c>
      <c r="C29" s="29">
        <v>8772865</v>
      </c>
      <c r="D29" s="29">
        <v>42000</v>
      </c>
      <c r="E29" s="30">
        <v>176086.1</v>
      </c>
      <c r="F29" s="30">
        <v>193948.7</v>
      </c>
      <c r="G29" s="30">
        <v>4.7</v>
      </c>
      <c r="H29" s="30">
        <v>7.4</v>
      </c>
      <c r="I29" s="33">
        <v>5.0999999999999996</v>
      </c>
      <c r="J29" s="33">
        <v>81.638999999999996</v>
      </c>
      <c r="K29" s="33">
        <v>1.52</v>
      </c>
      <c r="L29" s="29">
        <v>1649008</v>
      </c>
      <c r="M29" s="32">
        <v>27.6</v>
      </c>
      <c r="N29" s="32">
        <v>106.8</v>
      </c>
      <c r="O29" s="32">
        <v>36980</v>
      </c>
      <c r="P29" s="34">
        <v>187959.7</v>
      </c>
      <c r="Q29" s="34">
        <v>199644.4</v>
      </c>
      <c r="R29" s="34">
        <v>28327279</v>
      </c>
      <c r="S29" s="34">
        <v>19.3</v>
      </c>
      <c r="T29" s="34">
        <v>51</v>
      </c>
      <c r="U29" s="34">
        <v>29.7</v>
      </c>
      <c r="V29" s="34">
        <v>0.91400000000000003</v>
      </c>
      <c r="W29" s="34">
        <v>15.944210050000001</v>
      </c>
      <c r="X29" s="34">
        <v>12.159119609999999</v>
      </c>
      <c r="Y29" s="34">
        <v>53665.026680000003</v>
      </c>
      <c r="Z29" s="34">
        <v>0.96599999999999997</v>
      </c>
      <c r="AA29" s="34">
        <v>7.1999999999999995E-2</v>
      </c>
      <c r="AB29" s="34">
        <v>5.1446063860000004</v>
      </c>
      <c r="AC29" s="34">
        <v>6.9909999999999997</v>
      </c>
      <c r="AD29" s="34">
        <v>7.9123309629999996</v>
      </c>
      <c r="AE29" s="34">
        <v>24.895199999999999</v>
      </c>
    </row>
    <row r="30" spans="1:31" x14ac:dyDescent="0.3">
      <c r="A30" s="3" t="s">
        <v>134</v>
      </c>
      <c r="B30" s="27">
        <v>329363</v>
      </c>
      <c r="C30" s="29">
        <v>8822267</v>
      </c>
      <c r="D30" s="29">
        <v>43590</v>
      </c>
      <c r="E30" s="30">
        <v>185126.8</v>
      </c>
      <c r="F30" s="30">
        <v>200087.1</v>
      </c>
      <c r="G30" s="30">
        <v>4.5999999999999996</v>
      </c>
      <c r="H30" s="30">
        <v>7.3</v>
      </c>
      <c r="I30" s="33">
        <v>4.4000000000000004</v>
      </c>
      <c r="J30" s="33">
        <v>81.686000000000007</v>
      </c>
      <c r="K30" s="33">
        <v>1.47</v>
      </c>
      <c r="L30" s="29">
        <v>1690619</v>
      </c>
      <c r="M30" s="32">
        <v>27.9</v>
      </c>
      <c r="N30" s="32">
        <v>107.1</v>
      </c>
      <c r="O30" s="32">
        <v>37690</v>
      </c>
      <c r="P30" s="34">
        <v>202120.3</v>
      </c>
      <c r="Q30" s="34">
        <v>213681.6</v>
      </c>
      <c r="R30" s="34">
        <v>31138417</v>
      </c>
      <c r="S30" s="34">
        <v>18.899999999999999</v>
      </c>
      <c r="T30" s="34">
        <v>51</v>
      </c>
      <c r="U30" s="34">
        <v>30.1</v>
      </c>
      <c r="V30" s="34">
        <v>0.91700000000000004</v>
      </c>
      <c r="W30" s="34">
        <v>16.021909709999999</v>
      </c>
      <c r="X30" s="34">
        <v>12.20790482</v>
      </c>
      <c r="Y30" s="34">
        <v>54677.546340000001</v>
      </c>
      <c r="Z30" s="34">
        <v>0.96599999999999997</v>
      </c>
      <c r="AA30" s="34">
        <v>6.0999999999999999E-2</v>
      </c>
      <c r="AB30" s="34">
        <v>5.8262522749999999</v>
      </c>
      <c r="AC30" s="34">
        <v>5.8550000000000004</v>
      </c>
      <c r="AD30" s="34">
        <v>7.5303209210000004</v>
      </c>
      <c r="AE30" s="34">
        <v>26.9724</v>
      </c>
    </row>
    <row r="31" spans="1:31" x14ac:dyDescent="0.3">
      <c r="A31" s="3" t="s">
        <v>177</v>
      </c>
      <c r="B31" s="27">
        <v>1381756</v>
      </c>
      <c r="C31" s="29">
        <v>59816673</v>
      </c>
      <c r="D31" s="29">
        <v>30080</v>
      </c>
      <c r="E31" s="30">
        <v>721522.8</v>
      </c>
      <c r="F31" s="30">
        <v>1074679.6000000001</v>
      </c>
      <c r="G31" s="30">
        <v>5.3</v>
      </c>
      <c r="H31" s="30">
        <v>13.5</v>
      </c>
      <c r="I31" s="33">
        <v>4.4000000000000004</v>
      </c>
      <c r="J31" s="33">
        <v>83.552000000000007</v>
      </c>
      <c r="K31" s="33">
        <v>1.27</v>
      </c>
      <c r="L31" s="29">
        <v>6069000</v>
      </c>
      <c r="M31" s="32">
        <v>35.799999999999997</v>
      </c>
      <c r="N31" s="32">
        <v>201.5</v>
      </c>
      <c r="O31" s="32">
        <v>27230</v>
      </c>
      <c r="P31" s="34">
        <v>508030.4</v>
      </c>
      <c r="Q31" s="34">
        <v>567784.4</v>
      </c>
      <c r="R31" s="34">
        <v>160667939</v>
      </c>
      <c r="S31" s="34">
        <v>39.799999999999997</v>
      </c>
      <c r="T31" s="34">
        <v>42.8</v>
      </c>
      <c r="U31" s="34">
        <v>17.399999999999999</v>
      </c>
      <c r="V31" s="34">
        <v>0.89900000000000002</v>
      </c>
      <c r="W31" s="34">
        <v>16.37994003</v>
      </c>
      <c r="X31" s="34">
        <v>10.653280260000001</v>
      </c>
      <c r="Y31" s="34">
        <v>43102.264360000001</v>
      </c>
      <c r="Z31" s="34">
        <v>0.96599999999999997</v>
      </c>
      <c r="AA31" s="34">
        <v>5.3999999999999999E-2</v>
      </c>
      <c r="AB31" s="34">
        <v>4.7236809040000001</v>
      </c>
      <c r="AC31" s="34">
        <v>3.8780000000000001</v>
      </c>
      <c r="AD31" s="34">
        <v>5.6992179140000001</v>
      </c>
      <c r="AE31" s="34">
        <v>15.158300000000001</v>
      </c>
    </row>
    <row r="32" spans="1:31" x14ac:dyDescent="0.3">
      <c r="A32" s="3" t="s">
        <v>214</v>
      </c>
      <c r="B32" s="27">
        <v>121208</v>
      </c>
      <c r="C32" s="29">
        <v>19328838</v>
      </c>
      <c r="D32" s="29">
        <v>11430</v>
      </c>
      <c r="E32" s="30">
        <v>86956.3</v>
      </c>
      <c r="F32" s="30">
        <v>134728.20000000001</v>
      </c>
      <c r="G32" s="30">
        <v>8.5</v>
      </c>
      <c r="H32" s="30">
        <v>15.6</v>
      </c>
      <c r="I32" s="33">
        <v>4.2</v>
      </c>
      <c r="J32" s="33">
        <v>75.346000000000004</v>
      </c>
      <c r="K32" s="33">
        <v>1.8</v>
      </c>
      <c r="L32" s="29">
        <v>723913</v>
      </c>
      <c r="M32" s="32">
        <v>29</v>
      </c>
      <c r="N32" s="32">
        <v>82.7</v>
      </c>
      <c r="O32" s="32">
        <v>9000</v>
      </c>
      <c r="P32" s="34">
        <v>90802</v>
      </c>
      <c r="Q32" s="34">
        <v>81307.899999999994</v>
      </c>
      <c r="R32" s="34">
        <v>6633447</v>
      </c>
      <c r="S32" s="34">
        <v>23.7</v>
      </c>
      <c r="T32" s="34">
        <v>60.1</v>
      </c>
      <c r="U32" s="34">
        <v>16.2</v>
      </c>
      <c r="V32" s="34">
        <v>0.82799999999999996</v>
      </c>
      <c r="W32" s="34">
        <v>14.46557045</v>
      </c>
      <c r="X32" s="34">
        <v>11.36019615</v>
      </c>
      <c r="Y32" s="34">
        <v>28602.930700000001</v>
      </c>
      <c r="Z32" s="34">
        <v>0.96599999999999997</v>
      </c>
      <c r="AA32" s="34">
        <v>0.22900000000000001</v>
      </c>
      <c r="AB32" s="34">
        <v>10.070801530000001</v>
      </c>
      <c r="AC32" s="34">
        <v>36.762999999999998</v>
      </c>
      <c r="AD32" s="34">
        <v>3.8075483650000002</v>
      </c>
      <c r="AE32" s="34">
        <v>14.574199999999999</v>
      </c>
    </row>
    <row r="33" spans="1:31" x14ac:dyDescent="0.3">
      <c r="A33" s="3" t="s">
        <v>161</v>
      </c>
      <c r="B33" s="27">
        <v>311256</v>
      </c>
      <c r="C33" s="29">
        <v>8484130</v>
      </c>
      <c r="D33" s="29">
        <v>72150</v>
      </c>
      <c r="E33" s="30">
        <v>353404</v>
      </c>
      <c r="F33" s="30">
        <v>322342.5</v>
      </c>
      <c r="G33" s="30">
        <v>2.7</v>
      </c>
      <c r="H33" s="30">
        <v>4.4000000000000004</v>
      </c>
      <c r="I33" s="33">
        <v>4.4000000000000004</v>
      </c>
      <c r="J33" s="33">
        <v>83.561000000000007</v>
      </c>
      <c r="K33" s="33">
        <v>1.52</v>
      </c>
      <c r="L33" s="29">
        <v>2432519</v>
      </c>
      <c r="M33" s="32">
        <v>27.4</v>
      </c>
      <c r="N33" s="32">
        <v>213.6</v>
      </c>
      <c r="O33" s="32">
        <v>61690</v>
      </c>
      <c r="P33" s="34">
        <v>349848.3</v>
      </c>
      <c r="Q33" s="34">
        <v>414521.5</v>
      </c>
      <c r="R33" s="34">
        <v>56139549</v>
      </c>
      <c r="S33" s="34">
        <v>17.2</v>
      </c>
      <c r="T33" s="34">
        <v>45</v>
      </c>
      <c r="U33" s="34">
        <v>37.700000000000003</v>
      </c>
      <c r="V33" s="34">
        <v>0.95699999999999996</v>
      </c>
      <c r="W33" s="34">
        <v>16.259050370000001</v>
      </c>
      <c r="X33" s="34">
        <v>13.799690249999999</v>
      </c>
      <c r="Y33" s="34">
        <v>67150.702409999998</v>
      </c>
      <c r="Z33" s="34">
        <v>0.96699999999999997</v>
      </c>
      <c r="AA33" s="34">
        <v>3.2000000000000001E-2</v>
      </c>
      <c r="AB33" s="34">
        <v>7.4348675809999998</v>
      </c>
      <c r="AC33" s="34">
        <v>2.403</v>
      </c>
      <c r="AD33" s="34">
        <v>4.3299766020000003</v>
      </c>
      <c r="AE33" s="34">
        <v>32.976300000000002</v>
      </c>
    </row>
    <row r="34" spans="1:31" x14ac:dyDescent="0.3">
      <c r="A34" s="3" t="s">
        <v>19</v>
      </c>
      <c r="B34" s="27">
        <v>501066</v>
      </c>
      <c r="C34" s="29">
        <v>11180840</v>
      </c>
      <c r="D34" s="29">
        <v>35950</v>
      </c>
      <c r="E34" s="30">
        <v>206201.2</v>
      </c>
      <c r="F34" s="30">
        <v>208800.5</v>
      </c>
      <c r="G34" s="30">
        <v>6.6</v>
      </c>
      <c r="H34" s="30">
        <v>9.8000000000000007</v>
      </c>
      <c r="I34" s="33">
        <v>3.6</v>
      </c>
      <c r="J34" s="33">
        <v>81.081000000000003</v>
      </c>
      <c r="K34" s="33">
        <v>1.74</v>
      </c>
      <c r="L34" s="29">
        <v>1748748</v>
      </c>
      <c r="M34" s="32">
        <v>27.4</v>
      </c>
      <c r="N34" s="32">
        <v>369.6</v>
      </c>
      <c r="O34" s="32">
        <v>33870</v>
      </c>
      <c r="P34" s="34">
        <v>318300.90000000002</v>
      </c>
      <c r="Q34" s="34">
        <v>321600.7</v>
      </c>
      <c r="R34" s="34">
        <v>28776258</v>
      </c>
      <c r="S34" s="34">
        <v>29.5</v>
      </c>
      <c r="T34" s="34">
        <v>37.799999999999997</v>
      </c>
      <c r="U34" s="34">
        <v>32.6</v>
      </c>
      <c r="V34" s="34">
        <v>0.92200000000000004</v>
      </c>
      <c r="W34" s="34">
        <v>19.707769389999999</v>
      </c>
      <c r="X34" s="34">
        <v>11.64029026</v>
      </c>
      <c r="Y34" s="34">
        <v>49762.825259999998</v>
      </c>
      <c r="Z34" s="34">
        <v>0.96799999999999997</v>
      </c>
      <c r="AA34" s="34">
        <v>6.8000000000000005E-2</v>
      </c>
      <c r="AB34" s="34">
        <v>5.2581712280000001</v>
      </c>
      <c r="AC34" s="34">
        <v>7.4480000000000004</v>
      </c>
      <c r="AD34" s="34">
        <v>8.6813639380000005</v>
      </c>
      <c r="AE34" s="34">
        <v>26.2715</v>
      </c>
    </row>
    <row r="35" spans="1:31" x14ac:dyDescent="0.3">
      <c r="A35" s="3" t="s">
        <v>48</v>
      </c>
      <c r="B35" s="27">
        <v>539519</v>
      </c>
      <c r="C35" s="29">
        <v>11237274</v>
      </c>
      <c r="D35" s="29">
        <v>36960</v>
      </c>
      <c r="E35" s="30">
        <v>208127.9</v>
      </c>
      <c r="F35" s="30">
        <v>213930.1</v>
      </c>
      <c r="G35" s="30">
        <v>6.8</v>
      </c>
      <c r="H35" s="30">
        <v>10.1</v>
      </c>
      <c r="I35" s="33">
        <v>4</v>
      </c>
      <c r="J35" s="33">
        <v>80.89</v>
      </c>
      <c r="K35" s="33">
        <v>1.7</v>
      </c>
      <c r="L35" s="29">
        <v>1783488</v>
      </c>
      <c r="M35" s="32">
        <v>27.8</v>
      </c>
      <c r="N35" s="32">
        <v>371.8</v>
      </c>
      <c r="O35" s="32">
        <v>34360</v>
      </c>
      <c r="P35" s="34">
        <v>318306.8</v>
      </c>
      <c r="Q35" s="34">
        <v>324215.7</v>
      </c>
      <c r="R35" s="34">
        <v>30958841</v>
      </c>
      <c r="S35" s="34">
        <v>28.7</v>
      </c>
      <c r="T35" s="34">
        <v>38.700000000000003</v>
      </c>
      <c r="U35" s="34">
        <v>32.700000000000003</v>
      </c>
      <c r="V35" s="34">
        <v>0.92400000000000004</v>
      </c>
      <c r="W35" s="34">
        <v>19.791959760000001</v>
      </c>
      <c r="X35" s="34">
        <v>11.894040110000001</v>
      </c>
      <c r="Y35" s="34">
        <v>50155.165350000003</v>
      </c>
      <c r="Z35" s="34">
        <v>0.96799999999999997</v>
      </c>
      <c r="AA35" s="34">
        <v>6.3E-2</v>
      </c>
      <c r="AB35" s="34">
        <v>5.2029335850000002</v>
      </c>
      <c r="AC35" s="34">
        <v>6.8620000000000001</v>
      </c>
      <c r="AD35" s="34">
        <v>8.9920764050000006</v>
      </c>
      <c r="AE35" s="34">
        <v>23.016300000000001</v>
      </c>
    </row>
    <row r="36" spans="1:31" x14ac:dyDescent="0.3">
      <c r="A36" s="3" t="s">
        <v>60</v>
      </c>
      <c r="B36" s="27">
        <v>146649</v>
      </c>
      <c r="C36" s="29">
        <v>4677627</v>
      </c>
      <c r="D36" s="29">
        <v>56120</v>
      </c>
      <c r="E36" s="30">
        <v>77401</v>
      </c>
      <c r="F36" s="30">
        <v>86701.2</v>
      </c>
      <c r="G36" s="30">
        <v>3.4</v>
      </c>
      <c r="H36" s="30">
        <v>6.8</v>
      </c>
      <c r="I36" s="33">
        <v>4.7</v>
      </c>
      <c r="J36" s="33">
        <v>81.415999999999997</v>
      </c>
      <c r="K36" s="33">
        <v>1.85</v>
      </c>
      <c r="L36" s="29">
        <v>759256</v>
      </c>
      <c r="M36" s="32">
        <v>19.7</v>
      </c>
      <c r="N36" s="32">
        <v>68.5</v>
      </c>
      <c r="O36" s="32">
        <v>49420</v>
      </c>
      <c r="P36" s="34">
        <v>245445.3</v>
      </c>
      <c r="Q36" s="34">
        <v>321083.7</v>
      </c>
      <c r="R36" s="34">
        <v>29545020</v>
      </c>
      <c r="S36" s="34">
        <v>23.5</v>
      </c>
      <c r="T36" s="34">
        <v>37.5</v>
      </c>
      <c r="U36" s="34">
        <v>39</v>
      </c>
      <c r="V36" s="34">
        <v>0.92400000000000004</v>
      </c>
      <c r="W36" s="34">
        <v>18.70903015</v>
      </c>
      <c r="X36" s="34">
        <v>11.289446509999999</v>
      </c>
      <c r="Y36" s="34">
        <v>55036.926339999998</v>
      </c>
      <c r="Z36" s="34">
        <v>0.96799999999999997</v>
      </c>
      <c r="AA36" s="34">
        <v>0.109</v>
      </c>
      <c r="AB36" s="34">
        <v>6.4850268010000001</v>
      </c>
      <c r="AC36" s="34">
        <v>7.9240000000000004</v>
      </c>
      <c r="AD36" s="34">
        <v>8.298433696</v>
      </c>
      <c r="AE36" s="34">
        <v>21.2121</v>
      </c>
    </row>
    <row r="37" spans="1:31" x14ac:dyDescent="0.3">
      <c r="A37" s="3" t="s">
        <v>74</v>
      </c>
      <c r="B37" s="27">
        <v>315295</v>
      </c>
      <c r="C37" s="29">
        <v>8237666</v>
      </c>
      <c r="D37" s="29">
        <v>75530</v>
      </c>
      <c r="E37" s="30">
        <v>364410.9</v>
      </c>
      <c r="F37" s="30">
        <v>330707.5</v>
      </c>
      <c r="G37" s="30">
        <v>3.1</v>
      </c>
      <c r="H37" s="30">
        <v>5.2</v>
      </c>
      <c r="I37" s="33">
        <v>5</v>
      </c>
      <c r="J37" s="33">
        <v>82.846999999999994</v>
      </c>
      <c r="K37" s="33">
        <v>1.54</v>
      </c>
      <c r="L37" s="29">
        <v>2258196</v>
      </c>
      <c r="M37" s="32">
        <v>26.4</v>
      </c>
      <c r="N37" s="32">
        <v>207.1</v>
      </c>
      <c r="O37" s="32">
        <v>59600</v>
      </c>
      <c r="P37" s="34">
        <v>333468.5</v>
      </c>
      <c r="Q37" s="34">
        <v>399271</v>
      </c>
      <c r="R37" s="34">
        <v>48026375</v>
      </c>
      <c r="S37" s="34">
        <v>18.5</v>
      </c>
      <c r="T37" s="34">
        <v>47.3</v>
      </c>
      <c r="U37" s="34">
        <v>34.200000000000003</v>
      </c>
      <c r="V37" s="34">
        <v>0.95199999999999996</v>
      </c>
      <c r="W37" s="34">
        <v>16.1556797</v>
      </c>
      <c r="X37" s="34">
        <v>13.71187973</v>
      </c>
      <c r="Y37" s="34">
        <v>67919.933309999993</v>
      </c>
      <c r="Z37" s="34">
        <v>0.96799999999999997</v>
      </c>
      <c r="AA37" s="34">
        <v>3.9E-2</v>
      </c>
      <c r="AB37" s="34">
        <v>6.4625821160000001</v>
      </c>
      <c r="AC37" s="34">
        <v>2.8519999999999999</v>
      </c>
      <c r="AD37" s="34">
        <v>4.676026706</v>
      </c>
      <c r="AE37" s="34">
        <v>32.438000000000002</v>
      </c>
    </row>
    <row r="38" spans="1:31" x14ac:dyDescent="0.3">
      <c r="A38" s="3" t="s">
        <v>76</v>
      </c>
      <c r="B38" s="27">
        <v>353320</v>
      </c>
      <c r="C38" s="29">
        <v>8700471</v>
      </c>
      <c r="D38" s="29">
        <v>40920</v>
      </c>
      <c r="E38" s="30">
        <v>170081.4</v>
      </c>
      <c r="F38" s="30">
        <v>186892.6</v>
      </c>
      <c r="G38" s="30">
        <v>4.9000000000000004</v>
      </c>
      <c r="H38" s="30">
        <v>6.9</v>
      </c>
      <c r="I38" s="33">
        <v>5.0999999999999996</v>
      </c>
      <c r="J38" s="33">
        <v>81.593000000000004</v>
      </c>
      <c r="K38" s="33">
        <v>1.53</v>
      </c>
      <c r="L38" s="29">
        <v>1588209</v>
      </c>
      <c r="M38" s="32">
        <v>27.4</v>
      </c>
      <c r="N38" s="32">
        <v>106</v>
      </c>
      <c r="O38" s="32">
        <v>36390</v>
      </c>
      <c r="P38" s="34">
        <v>173710.5</v>
      </c>
      <c r="Q38" s="34">
        <v>187409.4</v>
      </c>
      <c r="R38" s="34">
        <v>27181511</v>
      </c>
      <c r="S38" s="34">
        <v>19.600000000000001</v>
      </c>
      <c r="T38" s="34">
        <v>51.5</v>
      </c>
      <c r="U38" s="34">
        <v>28.9</v>
      </c>
      <c r="V38" s="34">
        <v>0.91300000000000003</v>
      </c>
      <c r="W38" s="34">
        <v>15.89675999</v>
      </c>
      <c r="X38" s="34">
        <v>12.114660260000001</v>
      </c>
      <c r="Y38" s="34">
        <v>53340.757180000001</v>
      </c>
      <c r="Z38" s="34">
        <v>0.96799999999999997</v>
      </c>
      <c r="AA38" s="34">
        <v>8.2000000000000003E-2</v>
      </c>
      <c r="AB38" s="34">
        <v>5.3361507709999998</v>
      </c>
      <c r="AC38" s="34">
        <v>7.6369999999999996</v>
      </c>
      <c r="AD38" s="34">
        <v>7.6949236000000001</v>
      </c>
      <c r="AE38" s="34">
        <v>26.373000000000001</v>
      </c>
    </row>
    <row r="39" spans="1:31" x14ac:dyDescent="0.3">
      <c r="A39" s="3" t="s">
        <v>132</v>
      </c>
      <c r="B39" s="27">
        <v>299135</v>
      </c>
      <c r="C39" s="29">
        <v>8419550</v>
      </c>
      <c r="D39" s="29">
        <v>72860</v>
      </c>
      <c r="E39" s="30">
        <v>359229.7</v>
      </c>
      <c r="F39" s="30">
        <v>328646.7</v>
      </c>
      <c r="G39" s="30">
        <v>2.7</v>
      </c>
      <c r="H39" s="30">
        <v>4.5</v>
      </c>
      <c r="I39" s="33">
        <v>4.8</v>
      </c>
      <c r="J39" s="33">
        <v>83.412000000000006</v>
      </c>
      <c r="K39" s="33">
        <v>1.52</v>
      </c>
      <c r="L39" s="29">
        <v>2391480</v>
      </c>
      <c r="M39" s="32">
        <v>27</v>
      </c>
      <c r="N39" s="32">
        <v>212</v>
      </c>
      <c r="O39" s="32">
        <v>60420</v>
      </c>
      <c r="P39" s="34">
        <v>352675.5</v>
      </c>
      <c r="Q39" s="34">
        <v>408558.3</v>
      </c>
      <c r="R39" s="34">
        <v>53564943</v>
      </c>
      <c r="S39" s="34">
        <v>17.8</v>
      </c>
      <c r="T39" s="34">
        <v>45.5</v>
      </c>
      <c r="U39" s="34">
        <v>36.799999999999997</v>
      </c>
      <c r="V39" s="34">
        <v>0.95499999999999996</v>
      </c>
      <c r="W39" s="34">
        <v>16.16839981</v>
      </c>
      <c r="X39" s="34">
        <v>13.73318529</v>
      </c>
      <c r="Y39" s="34">
        <v>67250.540689999994</v>
      </c>
      <c r="Z39" s="34">
        <v>0.96799999999999997</v>
      </c>
      <c r="AA39" s="34">
        <v>3.4000000000000002E-2</v>
      </c>
      <c r="AB39" s="34">
        <v>6.1441319510000003</v>
      </c>
      <c r="AC39" s="34">
        <v>2.5569999999999999</v>
      </c>
      <c r="AD39" s="34">
        <v>4.5165065860000002</v>
      </c>
      <c r="AE39" s="34">
        <v>33.599200000000003</v>
      </c>
    </row>
    <row r="40" spans="1:31" x14ac:dyDescent="0.3">
      <c r="A40" s="3" t="s">
        <v>31</v>
      </c>
      <c r="B40" s="27">
        <v>124804</v>
      </c>
      <c r="C40" s="29">
        <v>4637852</v>
      </c>
      <c r="D40" s="29">
        <v>42010</v>
      </c>
      <c r="E40" s="30">
        <v>72959.7</v>
      </c>
      <c r="F40" s="30">
        <v>83546.600000000006</v>
      </c>
      <c r="G40" s="30">
        <v>4.0999999999999996</v>
      </c>
      <c r="H40" s="30">
        <v>6.7</v>
      </c>
      <c r="I40" s="33">
        <v>4.7</v>
      </c>
      <c r="J40" s="33">
        <v>81.307000000000002</v>
      </c>
      <c r="K40" s="33">
        <v>1.89</v>
      </c>
      <c r="L40" s="29">
        <v>754664</v>
      </c>
      <c r="M40" s="32">
        <v>19.100000000000001</v>
      </c>
      <c r="N40" s="32">
        <v>67.8</v>
      </c>
      <c r="O40" s="32">
        <v>40070</v>
      </c>
      <c r="P40" s="34">
        <v>179717.9</v>
      </c>
      <c r="Q40" s="34">
        <v>214831.1</v>
      </c>
      <c r="R40" s="34">
        <v>26310826</v>
      </c>
      <c r="S40" s="34">
        <v>24</v>
      </c>
      <c r="T40" s="34">
        <v>38.1</v>
      </c>
      <c r="U40" s="34">
        <v>38</v>
      </c>
      <c r="V40" s="34">
        <v>0.91800000000000004</v>
      </c>
      <c r="W40" s="34">
        <v>18.182819370000001</v>
      </c>
      <c r="X40" s="34">
        <v>11.217074869999999</v>
      </c>
      <c r="Y40" s="34">
        <v>49662.599900000001</v>
      </c>
      <c r="Z40" s="34">
        <v>0.96899999999999997</v>
      </c>
      <c r="AA40" s="34">
        <v>0.115</v>
      </c>
      <c r="AB40" s="34">
        <v>6.2728813900000002</v>
      </c>
      <c r="AC40" s="34">
        <v>8.5109999999999992</v>
      </c>
      <c r="AD40" s="34">
        <v>7.9731433330000003</v>
      </c>
      <c r="AE40" s="34">
        <v>21.421500000000002</v>
      </c>
    </row>
    <row r="41" spans="1:31" x14ac:dyDescent="0.3">
      <c r="A41" s="3" t="s">
        <v>106</v>
      </c>
      <c r="B41" s="27">
        <v>549632</v>
      </c>
      <c r="C41" s="29">
        <v>11351727</v>
      </c>
      <c r="D41" s="29">
        <v>39130</v>
      </c>
      <c r="E41" s="30">
        <v>219220.5</v>
      </c>
      <c r="F41" s="30">
        <v>229076.8</v>
      </c>
      <c r="G41" s="30">
        <v>5.4</v>
      </c>
      <c r="H41" s="30">
        <v>8.9</v>
      </c>
      <c r="I41" s="33">
        <v>3.9</v>
      </c>
      <c r="J41" s="33">
        <v>81.361999999999995</v>
      </c>
      <c r="K41" s="33">
        <v>1.65</v>
      </c>
      <c r="L41" s="29">
        <v>1876726</v>
      </c>
      <c r="M41" s="32">
        <v>28.6</v>
      </c>
      <c r="N41" s="32">
        <v>373.6</v>
      </c>
      <c r="O41" s="32">
        <v>35050</v>
      </c>
      <c r="P41" s="34">
        <v>365579.4</v>
      </c>
      <c r="Q41" s="34">
        <v>370203.4</v>
      </c>
      <c r="R41" s="34">
        <v>33260493</v>
      </c>
      <c r="S41" s="34">
        <v>27.2</v>
      </c>
      <c r="T41" s="34">
        <v>37.1</v>
      </c>
      <c r="U41" s="34">
        <v>35.6</v>
      </c>
      <c r="V41" s="34">
        <v>0.93100000000000005</v>
      </c>
      <c r="W41" s="34">
        <v>19.76102066</v>
      </c>
      <c r="X41" s="34">
        <v>12.236929890000001</v>
      </c>
      <c r="Y41" s="34">
        <v>50904.68909</v>
      </c>
      <c r="Z41" s="34">
        <v>0.96899999999999997</v>
      </c>
      <c r="AA41" s="34">
        <v>5.7000000000000002E-2</v>
      </c>
      <c r="AB41" s="34">
        <v>4.9123063870000001</v>
      </c>
      <c r="AC41" s="34">
        <v>6.0750000000000002</v>
      </c>
      <c r="AD41" s="34">
        <v>8.7008736179999993</v>
      </c>
      <c r="AE41" s="34">
        <v>25.318300000000001</v>
      </c>
    </row>
    <row r="42" spans="1:31" x14ac:dyDescent="0.3">
      <c r="A42" s="3" t="s">
        <v>163</v>
      </c>
      <c r="B42" s="27">
        <v>248740</v>
      </c>
      <c r="C42" s="29">
        <v>8858775</v>
      </c>
      <c r="D42" s="29">
        <v>44740</v>
      </c>
      <c r="E42" s="30">
        <v>192837.8</v>
      </c>
      <c r="F42" s="30">
        <v>204754.2</v>
      </c>
      <c r="G42" s="30">
        <v>4.7</v>
      </c>
      <c r="H42" s="30">
        <v>7.8</v>
      </c>
      <c r="I42" s="33">
        <v>4.4000000000000004</v>
      </c>
      <c r="J42" s="33">
        <v>81.908000000000001</v>
      </c>
      <c r="K42" s="33">
        <v>1.46</v>
      </c>
      <c r="L42" s="29">
        <v>1722833</v>
      </c>
      <c r="M42" s="32">
        <v>28.2</v>
      </c>
      <c r="N42" s="32">
        <v>107.6</v>
      </c>
      <c r="O42" s="32">
        <v>38070</v>
      </c>
      <c r="P42" s="34">
        <v>207039.7</v>
      </c>
      <c r="Q42" s="34">
        <v>221452.4</v>
      </c>
      <c r="R42" s="34">
        <v>35644188</v>
      </c>
      <c r="S42" s="34">
        <v>18.7</v>
      </c>
      <c r="T42" s="34">
        <v>50.2</v>
      </c>
      <c r="U42" s="34">
        <v>31.1</v>
      </c>
      <c r="V42" s="34">
        <v>0.92</v>
      </c>
      <c r="W42" s="34">
        <v>16.076250080000001</v>
      </c>
      <c r="X42" s="34">
        <v>12.25669003</v>
      </c>
      <c r="Y42" s="34">
        <v>55647.006050000004</v>
      </c>
      <c r="Z42" s="34">
        <v>0.96899999999999997</v>
      </c>
      <c r="AA42" s="34">
        <v>5.2999999999999999E-2</v>
      </c>
      <c r="AB42" s="34">
        <v>5.4957009079999999</v>
      </c>
      <c r="AC42" s="34">
        <v>5.4989999999999997</v>
      </c>
      <c r="AD42" s="34">
        <v>7.6527769330000002</v>
      </c>
      <c r="AE42" s="34">
        <v>24.910299999999999</v>
      </c>
    </row>
    <row r="43" spans="1:31" x14ac:dyDescent="0.3">
      <c r="A43" s="3" t="s">
        <v>173</v>
      </c>
      <c r="B43" s="27">
        <v>80977</v>
      </c>
      <c r="C43" s="29">
        <v>10724599</v>
      </c>
      <c r="D43" s="29">
        <v>17100</v>
      </c>
      <c r="E43" s="30">
        <v>67700.600000000006</v>
      </c>
      <c r="F43" s="30">
        <v>126599</v>
      </c>
      <c r="G43" s="30">
        <v>6.4</v>
      </c>
      <c r="H43" s="30">
        <v>4.0999999999999996</v>
      </c>
      <c r="I43" s="33">
        <v>4.4000000000000004</v>
      </c>
      <c r="J43" s="33">
        <v>81.248999999999995</v>
      </c>
      <c r="K43" s="33">
        <v>1.34</v>
      </c>
      <c r="L43" s="29">
        <v>1307471</v>
      </c>
      <c r="M43" s="32">
        <v>34.6</v>
      </c>
      <c r="N43" s="32">
        <v>82.4</v>
      </c>
      <c r="O43" s="32">
        <v>17780</v>
      </c>
      <c r="P43" s="34">
        <v>76593.7</v>
      </c>
      <c r="Q43" s="34">
        <v>73542</v>
      </c>
      <c r="R43" s="34">
        <v>56088527</v>
      </c>
      <c r="S43" s="34">
        <v>25.9</v>
      </c>
      <c r="T43" s="34">
        <v>46.3</v>
      </c>
      <c r="U43" s="34">
        <v>27.8</v>
      </c>
      <c r="V43" s="34">
        <v>0.89</v>
      </c>
      <c r="W43" s="34">
        <v>19.663890840000001</v>
      </c>
      <c r="X43" s="34">
        <v>11.119972710000001</v>
      </c>
      <c r="Y43" s="34">
        <v>29456.999599999999</v>
      </c>
      <c r="Z43" s="34">
        <v>0.96899999999999997</v>
      </c>
      <c r="AA43" s="34">
        <v>0.122</v>
      </c>
      <c r="AB43" s="34">
        <v>5.9618409550000004</v>
      </c>
      <c r="AC43" s="34">
        <v>8.3089999999999993</v>
      </c>
      <c r="AD43" s="34">
        <v>6.2189664029999996</v>
      </c>
      <c r="AE43" s="34">
        <v>14.309200000000001</v>
      </c>
    </row>
    <row r="44" spans="1:31" x14ac:dyDescent="0.3">
      <c r="A44" s="3" t="s">
        <v>190</v>
      </c>
      <c r="B44" s="27">
        <v>236703</v>
      </c>
      <c r="C44" s="29">
        <v>8544527</v>
      </c>
      <c r="D44" s="29">
        <v>75150</v>
      </c>
      <c r="E44" s="30">
        <v>377740.9</v>
      </c>
      <c r="F44" s="30">
        <v>337714.8</v>
      </c>
      <c r="G44" s="30">
        <v>2.2000000000000002</v>
      </c>
      <c r="H44" s="30">
        <v>4.4000000000000004</v>
      </c>
      <c r="I44" s="33">
        <v>4.4000000000000004</v>
      </c>
      <c r="J44" s="33">
        <v>83.78</v>
      </c>
      <c r="K44" s="33">
        <v>1.48</v>
      </c>
      <c r="L44" s="29">
        <v>2469381</v>
      </c>
      <c r="M44" s="32">
        <v>27.8</v>
      </c>
      <c r="N44" s="32">
        <v>215.1</v>
      </c>
      <c r="O44" s="32">
        <v>61950</v>
      </c>
      <c r="P44" s="34">
        <v>368378</v>
      </c>
      <c r="Q44" s="34">
        <v>431553.9</v>
      </c>
      <c r="R44" s="34">
        <v>57194328</v>
      </c>
      <c r="S44" s="34">
        <v>16.5</v>
      </c>
      <c r="T44" s="34">
        <v>44.9</v>
      </c>
      <c r="U44" s="34">
        <v>38.6</v>
      </c>
      <c r="V44" s="34">
        <v>0.96</v>
      </c>
      <c r="W44" s="34">
        <v>16.344579700000001</v>
      </c>
      <c r="X44" s="34">
        <v>13.85966015</v>
      </c>
      <c r="Y44" s="34">
        <v>67530.738140000001</v>
      </c>
      <c r="Z44" s="34">
        <v>0.96899999999999997</v>
      </c>
      <c r="AA44" s="34">
        <v>1.7999999999999999E-2</v>
      </c>
      <c r="AB44" s="34">
        <v>7.1045381860000001</v>
      </c>
      <c r="AC44" s="34">
        <v>2.1850000000000001</v>
      </c>
      <c r="AD44" s="34">
        <v>4.2827267349999998</v>
      </c>
      <c r="AE44" s="34">
        <v>31.436</v>
      </c>
    </row>
    <row r="45" spans="1:31" x14ac:dyDescent="0.3">
      <c r="A45" s="3" t="s">
        <v>230</v>
      </c>
      <c r="B45" s="27">
        <v>115884</v>
      </c>
      <c r="C45" s="29">
        <v>10678632</v>
      </c>
      <c r="D45" s="29">
        <v>17060</v>
      </c>
      <c r="E45" s="30">
        <v>68109.8</v>
      </c>
      <c r="F45" s="30">
        <v>123797.3</v>
      </c>
      <c r="G45" s="30">
        <v>5.9</v>
      </c>
      <c r="H45" s="30">
        <v>3.2</v>
      </c>
      <c r="I45" s="33">
        <v>3.9</v>
      </c>
      <c r="J45" s="33">
        <v>80.111000000000004</v>
      </c>
      <c r="K45" s="33">
        <v>1.43</v>
      </c>
      <c r="L45" s="29">
        <v>1361720</v>
      </c>
      <c r="M45" s="32">
        <v>35.6</v>
      </c>
      <c r="N45" s="32">
        <v>82.3</v>
      </c>
      <c r="O45" s="32">
        <v>17600</v>
      </c>
      <c r="P45" s="34">
        <v>88416.3</v>
      </c>
      <c r="Q45" s="34">
        <v>74309.5</v>
      </c>
      <c r="R45" s="34">
        <v>32245559</v>
      </c>
      <c r="S45" s="34">
        <v>23.5</v>
      </c>
      <c r="T45" s="34">
        <v>46.4</v>
      </c>
      <c r="U45" s="34">
        <v>30.1</v>
      </c>
      <c r="V45" s="34">
        <v>0.88700000000000001</v>
      </c>
      <c r="W45" s="34">
        <v>20.026380540000002</v>
      </c>
      <c r="X45" s="34">
        <v>11.408530239999999</v>
      </c>
      <c r="Y45" s="34">
        <v>29421.49957</v>
      </c>
      <c r="Z45" s="34">
        <v>0.96899999999999997</v>
      </c>
      <c r="AA45" s="34">
        <v>0.11899999999999999</v>
      </c>
      <c r="AB45" s="34">
        <v>7.6543455509999996</v>
      </c>
      <c r="AC45" s="34">
        <v>8.4789999999999992</v>
      </c>
      <c r="AD45" s="34">
        <v>5.5102239129999999</v>
      </c>
      <c r="AE45" s="34">
        <v>16.041899999999998</v>
      </c>
    </row>
    <row r="46" spans="1:31" x14ac:dyDescent="0.3">
      <c r="A46" s="3" t="s">
        <v>77</v>
      </c>
      <c r="B46" s="27">
        <v>546558</v>
      </c>
      <c r="C46" s="29">
        <v>11311117</v>
      </c>
      <c r="D46" s="29">
        <v>37960</v>
      </c>
      <c r="E46" s="30">
        <v>211813.2</v>
      </c>
      <c r="F46" s="30">
        <v>220597.4</v>
      </c>
      <c r="G46" s="30">
        <v>5.9</v>
      </c>
      <c r="H46" s="30">
        <v>8.8000000000000007</v>
      </c>
      <c r="I46" s="33">
        <v>3.9</v>
      </c>
      <c r="J46" s="33">
        <v>81.266000000000005</v>
      </c>
      <c r="K46" s="33">
        <v>1.68</v>
      </c>
      <c r="L46" s="29">
        <v>1845631</v>
      </c>
      <c r="M46" s="32">
        <v>28.2</v>
      </c>
      <c r="N46" s="32">
        <v>373.7</v>
      </c>
      <c r="O46" s="32">
        <v>34620</v>
      </c>
      <c r="P46" s="34">
        <v>336479</v>
      </c>
      <c r="Q46" s="34">
        <v>341615.1</v>
      </c>
      <c r="R46" s="34">
        <v>30115832</v>
      </c>
      <c r="S46" s="34">
        <v>28.2</v>
      </c>
      <c r="T46" s="34">
        <v>38.6</v>
      </c>
      <c r="U46" s="34">
        <v>33.200000000000003</v>
      </c>
      <c r="V46" s="34">
        <v>0.92700000000000005</v>
      </c>
      <c r="W46" s="34">
        <v>19.656909939999998</v>
      </c>
      <c r="X46" s="34">
        <v>11.98532009</v>
      </c>
      <c r="Y46" s="34">
        <v>50309.857680000001</v>
      </c>
      <c r="Z46" s="34">
        <v>0.97</v>
      </c>
      <c r="AA46" s="34">
        <v>0.06</v>
      </c>
      <c r="AB46" s="34">
        <v>4.9345777100000001</v>
      </c>
      <c r="AC46" s="34">
        <v>6.4889999999999999</v>
      </c>
      <c r="AD46" s="34">
        <v>8.8030788819999994</v>
      </c>
      <c r="AE46" s="34">
        <v>24.065899999999999</v>
      </c>
    </row>
    <row r="47" spans="1:31" x14ac:dyDescent="0.3">
      <c r="A47" s="3" t="s">
        <v>135</v>
      </c>
      <c r="B47" s="27">
        <v>550003</v>
      </c>
      <c r="C47" s="29">
        <v>11398589</v>
      </c>
      <c r="D47" s="29">
        <v>40260</v>
      </c>
      <c r="E47" s="30">
        <v>226486.8</v>
      </c>
      <c r="F47" s="30">
        <v>238205.5</v>
      </c>
      <c r="G47" s="30">
        <v>5.3</v>
      </c>
      <c r="H47" s="30">
        <v>8.6</v>
      </c>
      <c r="I47" s="33">
        <v>4.4000000000000004</v>
      </c>
      <c r="J47" s="33">
        <v>81.478999999999999</v>
      </c>
      <c r="K47" s="33">
        <v>1.62</v>
      </c>
      <c r="L47" s="29">
        <v>1916272</v>
      </c>
      <c r="M47" s="32">
        <v>29.1</v>
      </c>
      <c r="N47" s="32">
        <v>375.3</v>
      </c>
      <c r="O47" s="32">
        <v>35510</v>
      </c>
      <c r="P47" s="34">
        <v>383752.1</v>
      </c>
      <c r="Q47" s="34">
        <v>382208.5</v>
      </c>
      <c r="R47" s="34">
        <v>34506309</v>
      </c>
      <c r="S47" s="34">
        <v>26.3</v>
      </c>
      <c r="T47" s="34">
        <v>37.700000000000003</v>
      </c>
      <c r="U47" s="34">
        <v>36</v>
      </c>
      <c r="V47" s="34">
        <v>0.93300000000000005</v>
      </c>
      <c r="W47" s="34">
        <v>19.56148911</v>
      </c>
      <c r="X47" s="34">
        <v>12.30630493</v>
      </c>
      <c r="Y47" s="34">
        <v>51562.931040000003</v>
      </c>
      <c r="Z47" s="34">
        <v>0.97</v>
      </c>
      <c r="AA47" s="34">
        <v>5.2999999999999999E-2</v>
      </c>
      <c r="AB47" s="34">
        <v>4.9079595109999996</v>
      </c>
      <c r="AC47" s="34">
        <v>5.7169999999999996</v>
      </c>
      <c r="AD47" s="34">
        <v>8.731840021</v>
      </c>
      <c r="AE47" s="34">
        <v>26.65</v>
      </c>
    </row>
    <row r="48" spans="1:31" x14ac:dyDescent="0.3">
      <c r="A48" s="3" t="s">
        <v>144</v>
      </c>
      <c r="B48" s="27">
        <v>114226</v>
      </c>
      <c r="C48" s="29">
        <v>10741165</v>
      </c>
      <c r="D48" s="29">
        <v>16730</v>
      </c>
      <c r="E48" s="30">
        <v>65900</v>
      </c>
      <c r="F48" s="30">
        <v>124323.2</v>
      </c>
      <c r="G48" s="30">
        <v>6.5</v>
      </c>
      <c r="H48" s="30">
        <v>4.7</v>
      </c>
      <c r="I48" s="33">
        <v>4.4000000000000004</v>
      </c>
      <c r="J48" s="33">
        <v>81.391000000000005</v>
      </c>
      <c r="K48" s="33">
        <v>1.35</v>
      </c>
      <c r="L48" s="29">
        <v>1277861</v>
      </c>
      <c r="M48" s="32">
        <v>34.1</v>
      </c>
      <c r="N48" s="32">
        <v>82.5</v>
      </c>
      <c r="O48" s="32">
        <v>17430</v>
      </c>
      <c r="P48" s="34">
        <v>73900.800000000003</v>
      </c>
      <c r="Q48" s="34">
        <v>70014.8</v>
      </c>
      <c r="R48" s="34">
        <v>54258826</v>
      </c>
      <c r="S48" s="34">
        <v>28.7</v>
      </c>
      <c r="T48" s="34">
        <v>43.6</v>
      </c>
      <c r="U48" s="34">
        <v>27.7</v>
      </c>
      <c r="V48" s="34">
        <v>0.88600000000000001</v>
      </c>
      <c r="W48" s="34">
        <v>19.194589610000001</v>
      </c>
      <c r="X48" s="34">
        <v>10.83141518</v>
      </c>
      <c r="Y48" s="34">
        <v>28822.259419999998</v>
      </c>
      <c r="Z48" s="34">
        <v>0.97</v>
      </c>
      <c r="AA48" s="34">
        <v>0.128</v>
      </c>
      <c r="AB48" s="34">
        <v>5.6988356649999998</v>
      </c>
      <c r="AC48" s="34">
        <v>8.2449999999999992</v>
      </c>
      <c r="AD48" s="34">
        <v>6.7505944309999997</v>
      </c>
      <c r="AE48" s="34">
        <v>15.7502</v>
      </c>
    </row>
    <row r="49" spans="1:31" x14ac:dyDescent="0.3">
      <c r="A49" s="3" t="s">
        <v>202</v>
      </c>
      <c r="B49" s="27">
        <v>100976</v>
      </c>
      <c r="C49" s="29">
        <v>10718565</v>
      </c>
      <c r="D49" s="29">
        <v>15420</v>
      </c>
      <c r="E49" s="30">
        <v>64826.400000000001</v>
      </c>
      <c r="F49" s="30">
        <v>115850.2</v>
      </c>
      <c r="G49" s="30">
        <v>5.5</v>
      </c>
      <c r="H49" s="30">
        <v>3.8</v>
      </c>
      <c r="I49" s="33">
        <v>2.9</v>
      </c>
      <c r="J49" s="33">
        <v>80.909000000000006</v>
      </c>
      <c r="K49" s="33">
        <v>1.39</v>
      </c>
      <c r="L49" s="29">
        <v>1348174</v>
      </c>
      <c r="M49" s="32">
        <v>35.1</v>
      </c>
      <c r="N49" s="32">
        <v>82.4</v>
      </c>
      <c r="O49" s="32">
        <v>16150</v>
      </c>
      <c r="P49" s="34">
        <v>65637</v>
      </c>
      <c r="Q49" s="34">
        <v>52910.8</v>
      </c>
      <c r="R49" s="34">
        <v>17341192</v>
      </c>
      <c r="S49" s="34">
        <v>24.3</v>
      </c>
      <c r="T49" s="34">
        <v>47.2</v>
      </c>
      <c r="U49" s="34">
        <v>28.5</v>
      </c>
      <c r="V49" s="34">
        <v>0.88700000000000001</v>
      </c>
      <c r="W49" s="34">
        <v>19.673809049999999</v>
      </c>
      <c r="X49" s="34">
        <v>11.408530239999999</v>
      </c>
      <c r="Y49" s="34">
        <v>26972.581620000001</v>
      </c>
      <c r="Z49" s="34">
        <v>0.97</v>
      </c>
      <c r="AA49" s="34">
        <v>0.11899999999999999</v>
      </c>
      <c r="AB49" s="34">
        <v>7.6543455509999996</v>
      </c>
      <c r="AC49" s="34">
        <v>8.4209999999999994</v>
      </c>
      <c r="AD49" s="34">
        <v>5.2909600929999998</v>
      </c>
      <c r="AE49" s="34">
        <v>14.0991</v>
      </c>
    </row>
    <row r="50" spans="1:31" x14ac:dyDescent="0.3">
      <c r="A50" s="3" t="s">
        <v>28</v>
      </c>
      <c r="B50" s="27">
        <v>75804</v>
      </c>
      <c r="C50" s="29">
        <v>10926807</v>
      </c>
      <c r="D50" s="29">
        <v>16270</v>
      </c>
      <c r="E50" s="30">
        <v>62540.800000000003</v>
      </c>
      <c r="F50" s="30">
        <v>122428</v>
      </c>
      <c r="G50" s="30">
        <v>7.3</v>
      </c>
      <c r="H50" s="30">
        <v>9</v>
      </c>
      <c r="I50" s="33">
        <v>4.9000000000000004</v>
      </c>
      <c r="J50" s="33">
        <v>81.007000000000005</v>
      </c>
      <c r="K50" s="33">
        <v>1.3</v>
      </c>
      <c r="L50" s="29">
        <v>1265165</v>
      </c>
      <c r="M50" s="32">
        <v>31.6</v>
      </c>
      <c r="N50" s="32">
        <v>82.5</v>
      </c>
      <c r="O50" s="32">
        <v>16830</v>
      </c>
      <c r="P50" s="34">
        <v>60332.4</v>
      </c>
      <c r="Q50" s="34">
        <v>57576.2</v>
      </c>
      <c r="R50" s="34">
        <v>39117833</v>
      </c>
      <c r="S50" s="34">
        <v>33.1</v>
      </c>
      <c r="T50" s="34">
        <v>42.2</v>
      </c>
      <c r="U50" s="34">
        <v>24.6</v>
      </c>
      <c r="V50" s="34">
        <v>0.879</v>
      </c>
      <c r="W50" s="34">
        <v>17.869899749999998</v>
      </c>
      <c r="X50" s="34">
        <v>10.59597969</v>
      </c>
      <c r="Y50" s="34">
        <v>28309.774219999999</v>
      </c>
      <c r="Z50" s="34">
        <v>0.97099999999999997</v>
      </c>
      <c r="AA50" s="34">
        <v>0.11899999999999999</v>
      </c>
      <c r="AB50" s="34">
        <v>4.807260759</v>
      </c>
      <c r="AC50" s="34">
        <v>7.9029999999999996</v>
      </c>
      <c r="AD50" s="34">
        <v>7.2389509719999996</v>
      </c>
      <c r="AE50" s="34">
        <v>15.900399999999999</v>
      </c>
    </row>
    <row r="51" spans="1:31" x14ac:dyDescent="0.3">
      <c r="A51" s="3" t="s">
        <v>59</v>
      </c>
      <c r="B51" s="27">
        <v>18473</v>
      </c>
      <c r="C51" s="29">
        <v>329100</v>
      </c>
      <c r="D51" s="29">
        <v>47750</v>
      </c>
      <c r="E51" s="30">
        <v>7910.7</v>
      </c>
      <c r="F51" s="30">
        <v>7847.7</v>
      </c>
      <c r="G51" s="30">
        <v>4.8</v>
      </c>
      <c r="H51" s="30">
        <v>18.8</v>
      </c>
      <c r="I51" s="33">
        <v>4.5999999999999996</v>
      </c>
      <c r="J51" s="33">
        <v>82.350999999999999</v>
      </c>
      <c r="K51" s="33">
        <v>1.8</v>
      </c>
      <c r="L51" s="29">
        <v>39072</v>
      </c>
      <c r="M51" s="32">
        <v>20.5</v>
      </c>
      <c r="N51" s="32">
        <v>3.3</v>
      </c>
      <c r="O51" s="32">
        <v>35870</v>
      </c>
      <c r="P51" s="34">
        <v>6976.2</v>
      </c>
      <c r="Q51" s="34">
        <v>8158.5</v>
      </c>
      <c r="R51" s="34">
        <v>4847288</v>
      </c>
      <c r="S51" s="34">
        <v>32.5</v>
      </c>
      <c r="T51" s="34">
        <v>35.799999999999997</v>
      </c>
      <c r="U51" s="34">
        <v>31.7</v>
      </c>
      <c r="V51" s="34">
        <v>0.94799999999999995</v>
      </c>
      <c r="W51" s="34">
        <v>19.353269579999999</v>
      </c>
      <c r="X51" s="34">
        <v>13.369219920000001</v>
      </c>
      <c r="Y51" s="34">
        <v>50197.423119999999</v>
      </c>
      <c r="Z51" s="34">
        <v>0.97099999999999997</v>
      </c>
      <c r="AA51" s="34">
        <v>6.2E-2</v>
      </c>
      <c r="AB51" s="34">
        <v>3.419125347</v>
      </c>
      <c r="AC51" s="34">
        <v>7.4820000000000002</v>
      </c>
      <c r="AD51" s="34">
        <v>10.704101980000001</v>
      </c>
      <c r="AE51" s="34">
        <v>22.6525</v>
      </c>
    </row>
    <row r="52" spans="1:31" x14ac:dyDescent="0.3">
      <c r="A52" s="3" t="s">
        <v>86</v>
      </c>
      <c r="B52" s="27">
        <v>88083</v>
      </c>
      <c r="C52" s="29">
        <v>10783748</v>
      </c>
      <c r="D52" s="29">
        <v>16190</v>
      </c>
      <c r="E52" s="30">
        <v>62991.9</v>
      </c>
      <c r="F52" s="30">
        <v>118646.9</v>
      </c>
      <c r="G52" s="30">
        <v>7.6</v>
      </c>
      <c r="H52" s="30">
        <v>6.2</v>
      </c>
      <c r="I52" s="33">
        <v>4.5999999999999996</v>
      </c>
      <c r="J52" s="33">
        <v>81.162000000000006</v>
      </c>
      <c r="K52" s="33">
        <v>1.38</v>
      </c>
      <c r="L52" s="29">
        <v>1220395</v>
      </c>
      <c r="M52" s="32">
        <v>33.1</v>
      </c>
      <c r="N52" s="32">
        <v>82.4</v>
      </c>
      <c r="O52" s="32">
        <v>16890</v>
      </c>
      <c r="P52" s="34">
        <v>57115</v>
      </c>
      <c r="Q52" s="34">
        <v>54594.8</v>
      </c>
      <c r="R52" s="34">
        <v>45543371</v>
      </c>
      <c r="S52" s="34">
        <v>30</v>
      </c>
      <c r="T52" s="34">
        <v>43.5</v>
      </c>
      <c r="U52" s="34">
        <v>26.4</v>
      </c>
      <c r="V52" s="34">
        <v>0.877</v>
      </c>
      <c r="W52" s="34">
        <v>18.474649429999999</v>
      </c>
      <c r="X52" s="34">
        <v>10.25430012</v>
      </c>
      <c r="Y52" s="34">
        <v>28101.695459999999</v>
      </c>
      <c r="Z52" s="34">
        <v>0.97099999999999997</v>
      </c>
      <c r="AA52" s="34">
        <v>0.125</v>
      </c>
      <c r="AB52" s="34">
        <v>5.347466131</v>
      </c>
      <c r="AC52" s="34">
        <v>8.5069999999999997</v>
      </c>
      <c r="AD52" s="34">
        <v>6.6383918800000004</v>
      </c>
      <c r="AE52" s="34">
        <v>15.133699999999999</v>
      </c>
    </row>
    <row r="53" spans="1:31" x14ac:dyDescent="0.3">
      <c r="A53" s="3" t="s">
        <v>89</v>
      </c>
      <c r="B53" s="27">
        <v>131332</v>
      </c>
      <c r="C53" s="29">
        <v>4726286</v>
      </c>
      <c r="D53" s="29">
        <v>56800</v>
      </c>
      <c r="E53" s="30">
        <v>82455.3</v>
      </c>
      <c r="F53" s="30">
        <v>91294.7</v>
      </c>
      <c r="G53" s="30">
        <v>3.8</v>
      </c>
      <c r="H53" s="30">
        <v>6</v>
      </c>
      <c r="I53" s="33">
        <v>4.8</v>
      </c>
      <c r="J53" s="33">
        <v>81.55</v>
      </c>
      <c r="K53" s="33">
        <v>1.81</v>
      </c>
      <c r="L53" s="29">
        <v>773649</v>
      </c>
      <c r="M53" s="32">
        <v>20.2</v>
      </c>
      <c r="N53" s="32">
        <v>69.3</v>
      </c>
      <c r="O53" s="32">
        <v>49730</v>
      </c>
      <c r="P53" s="34">
        <v>286532</v>
      </c>
      <c r="Q53" s="34">
        <v>328827.90000000002</v>
      </c>
      <c r="R53" s="34">
        <v>32595709</v>
      </c>
      <c r="S53" s="34">
        <v>23</v>
      </c>
      <c r="T53" s="34">
        <v>37.6</v>
      </c>
      <c r="U53" s="34">
        <v>39.5</v>
      </c>
      <c r="V53" s="34">
        <v>0.92900000000000005</v>
      </c>
      <c r="W53" s="34">
        <v>18.793260570000001</v>
      </c>
      <c r="X53" s="34">
        <v>11.36181815</v>
      </c>
      <c r="Y53" s="34">
        <v>58828.867539999999</v>
      </c>
      <c r="Z53" s="34">
        <v>0.97099999999999997</v>
      </c>
      <c r="AA53" s="34">
        <v>9.1999999999999998E-2</v>
      </c>
      <c r="AB53" s="34">
        <v>5.3432488830000002</v>
      </c>
      <c r="AC53" s="34">
        <v>7.2169999999999996</v>
      </c>
      <c r="AD53" s="34">
        <v>8.5605417379999995</v>
      </c>
      <c r="AE53" s="34">
        <v>28.478400000000001</v>
      </c>
    </row>
    <row r="54" spans="1:31" x14ac:dyDescent="0.3">
      <c r="A54" s="3" t="s">
        <v>115</v>
      </c>
      <c r="B54" s="27">
        <v>103431</v>
      </c>
      <c r="C54" s="29">
        <v>10768193</v>
      </c>
      <c r="D54" s="29">
        <v>16450</v>
      </c>
      <c r="E54" s="30">
        <v>63853.4</v>
      </c>
      <c r="F54" s="30">
        <v>122054.1</v>
      </c>
      <c r="G54" s="30">
        <v>6.8</v>
      </c>
      <c r="H54" s="30">
        <v>6</v>
      </c>
      <c r="I54" s="33">
        <v>4.7</v>
      </c>
      <c r="J54" s="33">
        <v>80.849999999999994</v>
      </c>
      <c r="K54" s="33">
        <v>1.35</v>
      </c>
      <c r="L54" s="29">
        <v>1250863</v>
      </c>
      <c r="M54" s="32">
        <v>33.6</v>
      </c>
      <c r="N54" s="32">
        <v>82.2</v>
      </c>
      <c r="O54" s="32">
        <v>17110</v>
      </c>
      <c r="P54" s="34">
        <v>64649.1</v>
      </c>
      <c r="Q54" s="34">
        <v>61976.5</v>
      </c>
      <c r="R54" s="34">
        <v>50170728</v>
      </c>
      <c r="S54" s="34">
        <v>29.3</v>
      </c>
      <c r="T54" s="34">
        <v>43.6</v>
      </c>
      <c r="U54" s="34">
        <v>27.2</v>
      </c>
      <c r="V54" s="34">
        <v>0.88</v>
      </c>
      <c r="W54" s="34">
        <v>18.863849640000002</v>
      </c>
      <c r="X54" s="34">
        <v>10.54285765</v>
      </c>
      <c r="Y54" s="34">
        <v>28461.455809999999</v>
      </c>
      <c r="Z54" s="34">
        <v>0.97099999999999997</v>
      </c>
      <c r="AA54" s="34">
        <v>0.129</v>
      </c>
      <c r="AB54" s="34">
        <v>5.8493356050000003</v>
      </c>
      <c r="AC54" s="34">
        <v>8.3680000000000003</v>
      </c>
      <c r="AD54" s="34">
        <v>6.9997946170000001</v>
      </c>
      <c r="AE54" s="34">
        <v>14.0396</v>
      </c>
    </row>
    <row r="55" spans="1:31" x14ac:dyDescent="0.3">
      <c r="A55" s="3" t="s">
        <v>164</v>
      </c>
      <c r="B55" s="27">
        <v>431491</v>
      </c>
      <c r="C55" s="29">
        <v>11455519</v>
      </c>
      <c r="D55" s="29">
        <v>41660</v>
      </c>
      <c r="E55" s="30">
        <v>234630.6</v>
      </c>
      <c r="F55" s="30">
        <v>245666.8</v>
      </c>
      <c r="G55" s="30">
        <v>5.6</v>
      </c>
      <c r="H55" s="30">
        <v>8.4</v>
      </c>
      <c r="I55" s="33">
        <v>4.4000000000000004</v>
      </c>
      <c r="J55" s="33">
        <v>81.831000000000003</v>
      </c>
      <c r="K55" s="33">
        <v>1.6</v>
      </c>
      <c r="L55" s="29">
        <v>1968060</v>
      </c>
      <c r="M55" s="32">
        <v>29.5</v>
      </c>
      <c r="N55" s="32">
        <v>377.3</v>
      </c>
      <c r="O55" s="32">
        <v>36110</v>
      </c>
      <c r="P55" s="34">
        <v>391408.9</v>
      </c>
      <c r="Q55" s="34">
        <v>394415.7</v>
      </c>
      <c r="R55" s="34">
        <v>35385188</v>
      </c>
      <c r="S55" s="34">
        <v>25.9</v>
      </c>
      <c r="T55" s="34">
        <v>38.1</v>
      </c>
      <c r="U55" s="34">
        <v>36</v>
      </c>
      <c r="V55" s="34">
        <v>0.93600000000000005</v>
      </c>
      <c r="W55" s="34">
        <v>19.568389889999999</v>
      </c>
      <c r="X55" s="34">
        <v>12.37567997</v>
      </c>
      <c r="Y55" s="34">
        <v>52490.46183</v>
      </c>
      <c r="Z55" s="34">
        <v>0.97099999999999997</v>
      </c>
      <c r="AA55" s="34">
        <v>4.8000000000000001E-2</v>
      </c>
      <c r="AB55" s="34">
        <v>4.6033356359999997</v>
      </c>
      <c r="AC55" s="34">
        <v>5.3040000000000003</v>
      </c>
      <c r="AD55" s="34">
        <v>8.6416500040000006</v>
      </c>
      <c r="AE55" s="34">
        <v>23.596800000000002</v>
      </c>
    </row>
    <row r="56" spans="1:31" x14ac:dyDescent="0.3">
      <c r="A56" s="3" t="s">
        <v>206</v>
      </c>
      <c r="B56" s="27">
        <v>1457952</v>
      </c>
      <c r="C56" s="29">
        <v>59641488</v>
      </c>
      <c r="D56" s="29">
        <v>27950</v>
      </c>
      <c r="E56" s="30">
        <v>679501.1</v>
      </c>
      <c r="F56" s="30">
        <v>963913.5</v>
      </c>
      <c r="G56" s="30">
        <v>4</v>
      </c>
      <c r="H56" s="30">
        <v>13.1</v>
      </c>
      <c r="I56" s="33">
        <v>1.6</v>
      </c>
      <c r="J56" s="33">
        <v>82.394999999999996</v>
      </c>
      <c r="K56" s="33">
        <v>1.24</v>
      </c>
      <c r="L56" s="29">
        <v>6161391</v>
      </c>
      <c r="M56" s="32">
        <v>36.4</v>
      </c>
      <c r="N56" s="32">
        <v>200.6</v>
      </c>
      <c r="O56" s="32">
        <v>24910</v>
      </c>
      <c r="P56" s="34">
        <v>429155.2</v>
      </c>
      <c r="Q56" s="34">
        <v>488940.7</v>
      </c>
      <c r="R56" s="34">
        <v>40405355</v>
      </c>
      <c r="S56" s="34">
        <v>39</v>
      </c>
      <c r="T56" s="34">
        <v>43.1</v>
      </c>
      <c r="U56" s="34">
        <v>17.899999999999999</v>
      </c>
      <c r="V56" s="34">
        <v>0.89200000000000002</v>
      </c>
      <c r="W56" s="34">
        <v>16.53091049</v>
      </c>
      <c r="X56" s="34">
        <v>10.740110400000001</v>
      </c>
      <c r="Y56" s="34">
        <v>39586.544679999999</v>
      </c>
      <c r="Z56" s="34">
        <v>0.97099999999999997</v>
      </c>
      <c r="AA56" s="34">
        <v>5.5E-2</v>
      </c>
      <c r="AB56" s="34">
        <v>4.590938693</v>
      </c>
      <c r="AC56" s="34">
        <v>3.8809999999999998</v>
      </c>
      <c r="AD56" s="34">
        <v>5.0971151050000003</v>
      </c>
      <c r="AE56" s="34">
        <v>13.639099999999999</v>
      </c>
    </row>
    <row r="57" spans="1:31" x14ac:dyDescent="0.3">
      <c r="A57" s="3" t="s">
        <v>219</v>
      </c>
      <c r="B57" s="27">
        <v>238355</v>
      </c>
      <c r="C57" s="29">
        <v>8606033</v>
      </c>
      <c r="D57" s="29">
        <v>75330</v>
      </c>
      <c r="E57" s="30">
        <v>387678.9</v>
      </c>
      <c r="F57" s="30">
        <v>337668.1</v>
      </c>
      <c r="G57" s="30">
        <v>2.6</v>
      </c>
      <c r="H57" s="30">
        <v>4</v>
      </c>
      <c r="I57" s="33">
        <v>4.0999999999999996</v>
      </c>
      <c r="J57" s="33">
        <v>83.066999999999993</v>
      </c>
      <c r="K57" s="33">
        <v>1.46</v>
      </c>
      <c r="L57" s="29">
        <v>2509692</v>
      </c>
      <c r="M57" s="32">
        <v>28.1</v>
      </c>
      <c r="N57" s="32">
        <v>215.1</v>
      </c>
      <c r="O57" s="32">
        <v>60190</v>
      </c>
      <c r="P57" s="34">
        <v>375416.1</v>
      </c>
      <c r="Q57" s="34">
        <v>417097.1</v>
      </c>
      <c r="R57" s="34">
        <v>16006811</v>
      </c>
      <c r="S57" s="34">
        <v>16.2</v>
      </c>
      <c r="T57" s="34">
        <v>44.5</v>
      </c>
      <c r="U57" s="34">
        <v>39.299999999999997</v>
      </c>
      <c r="V57" s="34">
        <v>0.95699999999999996</v>
      </c>
      <c r="W57" s="34">
        <v>16.433660509999999</v>
      </c>
      <c r="X57" s="34">
        <v>13.904066220000001</v>
      </c>
      <c r="Y57" s="34">
        <v>66266.629480000003</v>
      </c>
      <c r="Z57" s="34">
        <v>0.97099999999999997</v>
      </c>
      <c r="AA57" s="34">
        <v>1.7999999999999999E-2</v>
      </c>
      <c r="AB57" s="34">
        <v>7.3787547130000002</v>
      </c>
      <c r="AC57" s="34">
        <v>2.194</v>
      </c>
      <c r="AD57" s="34">
        <v>3.9630436040000001</v>
      </c>
      <c r="AE57" s="34">
        <v>34.902200000000001</v>
      </c>
    </row>
    <row r="58" spans="1:31" x14ac:dyDescent="0.3">
      <c r="A58" s="3" t="s">
        <v>234</v>
      </c>
      <c r="B58" s="27">
        <v>1506392</v>
      </c>
      <c r="C58" s="29">
        <v>59236213</v>
      </c>
      <c r="D58" s="29">
        <v>30810</v>
      </c>
      <c r="E58" s="30">
        <v>736157.2</v>
      </c>
      <c r="F58" s="30">
        <v>1032914.7</v>
      </c>
      <c r="G58" s="30">
        <v>4.9000000000000004</v>
      </c>
      <c r="H58" s="30">
        <v>12.7</v>
      </c>
      <c r="I58" s="33">
        <v>3.1</v>
      </c>
      <c r="J58" s="33">
        <v>82.85</v>
      </c>
      <c r="K58" s="33">
        <v>1.25</v>
      </c>
      <c r="L58" s="29">
        <v>6262207</v>
      </c>
      <c r="M58" s="32">
        <v>37</v>
      </c>
      <c r="N58" s="32">
        <v>199.6</v>
      </c>
      <c r="O58" s="32">
        <v>27120</v>
      </c>
      <c r="P58" s="34">
        <v>545761.1</v>
      </c>
      <c r="Q58" s="34">
        <v>585076.30000000005</v>
      </c>
      <c r="R58" s="34">
        <v>59709143</v>
      </c>
      <c r="S58" s="34">
        <v>39.200000000000003</v>
      </c>
      <c r="T58" s="34">
        <v>42.9</v>
      </c>
      <c r="U58" s="34">
        <v>17.8</v>
      </c>
      <c r="V58" s="34">
        <v>0.89900000000000002</v>
      </c>
      <c r="W58" s="34">
        <v>16.658060070000001</v>
      </c>
      <c r="X58" s="34">
        <v>10.740110400000001</v>
      </c>
      <c r="Y58" s="34">
        <v>42855.852370000001</v>
      </c>
      <c r="Z58" s="34">
        <v>0.97099999999999997</v>
      </c>
      <c r="AA58" s="34">
        <v>5.6000000000000001E-2</v>
      </c>
      <c r="AB58" s="34">
        <v>4.590938693</v>
      </c>
      <c r="AC58" s="34">
        <v>3.9929999999999999</v>
      </c>
      <c r="AD58" s="34">
        <v>5.6925730440000004</v>
      </c>
      <c r="AE58" s="34">
        <v>15.231299999999999</v>
      </c>
    </row>
    <row r="59" spans="1:31" x14ac:dyDescent="0.3">
      <c r="A59" s="3" t="s">
        <v>23</v>
      </c>
      <c r="B59" s="27">
        <v>206999</v>
      </c>
      <c r="C59" s="29">
        <v>5627235</v>
      </c>
      <c r="D59" s="29">
        <v>47090</v>
      </c>
      <c r="E59" s="30">
        <v>136521.79999999999</v>
      </c>
      <c r="F59" s="30">
        <v>125333.5</v>
      </c>
      <c r="G59" s="30">
        <v>3.2</v>
      </c>
      <c r="H59" s="30">
        <v>8.1</v>
      </c>
      <c r="I59" s="33">
        <v>5</v>
      </c>
      <c r="J59" s="33">
        <v>80.63</v>
      </c>
      <c r="K59" s="33">
        <v>1.69</v>
      </c>
      <c r="L59" s="29">
        <v>569596</v>
      </c>
      <c r="M59" s="32">
        <v>28.3</v>
      </c>
      <c r="N59" s="32">
        <v>131.5</v>
      </c>
      <c r="O59" s="32">
        <v>44890</v>
      </c>
      <c r="P59" s="34">
        <v>126635.3</v>
      </c>
      <c r="Q59" s="34">
        <v>145138.20000000001</v>
      </c>
      <c r="R59" s="34">
        <v>29015133</v>
      </c>
      <c r="S59" s="34">
        <v>28.7</v>
      </c>
      <c r="T59" s="34">
        <v>41.9</v>
      </c>
      <c r="U59" s="34">
        <v>29.4</v>
      </c>
      <c r="V59" s="34">
        <v>0.93200000000000005</v>
      </c>
      <c r="W59" s="34">
        <v>19.208990100000001</v>
      </c>
      <c r="X59" s="34">
        <v>12.38759041</v>
      </c>
      <c r="Y59" s="34">
        <v>53941.250099999997</v>
      </c>
      <c r="Z59" s="34">
        <v>0.97299999999999998</v>
      </c>
      <c r="AA59" s="34">
        <v>3.5000000000000003E-2</v>
      </c>
      <c r="AB59" s="34">
        <v>5.1078341900000002</v>
      </c>
      <c r="AC59" s="34">
        <v>3.8340000000000001</v>
      </c>
      <c r="AD59" s="34">
        <v>6.6490368459999996</v>
      </c>
      <c r="AE59" s="34">
        <v>23.2773</v>
      </c>
    </row>
    <row r="60" spans="1:31" x14ac:dyDescent="0.3">
      <c r="A60" s="3" t="s">
        <v>247</v>
      </c>
      <c r="B60" s="27">
        <v>254812</v>
      </c>
      <c r="C60" s="29">
        <v>8670300</v>
      </c>
      <c r="D60" s="29">
        <v>78990</v>
      </c>
      <c r="E60" s="30">
        <v>401079.2</v>
      </c>
      <c r="F60" s="30">
        <v>341258.1</v>
      </c>
      <c r="G60" s="30">
        <v>2.2999999999999998</v>
      </c>
      <c r="H60" s="30">
        <v>4.9000000000000004</v>
      </c>
      <c r="I60" s="33">
        <v>4.2</v>
      </c>
      <c r="J60" s="33">
        <v>83.986999999999995</v>
      </c>
      <c r="K60" s="33">
        <v>1.52</v>
      </c>
      <c r="L60" s="29">
        <v>2553225</v>
      </c>
      <c r="M60" s="32">
        <v>28.4</v>
      </c>
      <c r="N60" s="32">
        <v>216.7</v>
      </c>
      <c r="O60" s="32">
        <v>62950</v>
      </c>
      <c r="P60" s="34">
        <v>405449.5</v>
      </c>
      <c r="Q60" s="34">
        <v>490150.7</v>
      </c>
      <c r="R60" s="34">
        <v>19109708</v>
      </c>
      <c r="S60" s="34">
        <v>17.399999999999999</v>
      </c>
      <c r="T60" s="34">
        <v>43.3</v>
      </c>
      <c r="U60" s="34">
        <v>39.200000000000003</v>
      </c>
      <c r="V60" s="34">
        <v>0.96499999999999997</v>
      </c>
      <c r="W60" s="34">
        <v>16.5837307</v>
      </c>
      <c r="X60" s="34">
        <v>13.904066220000001</v>
      </c>
      <c r="Y60" s="34">
        <v>68550.380919999996</v>
      </c>
      <c r="Z60" s="34">
        <v>0.97299999999999998</v>
      </c>
      <c r="AA60" s="34">
        <v>1.7000000000000001E-2</v>
      </c>
      <c r="AB60" s="34">
        <v>7.3787547130000002</v>
      </c>
      <c r="AC60" s="34">
        <v>2.2120000000000002</v>
      </c>
      <c r="AD60" s="34">
        <v>4.1175501409999997</v>
      </c>
      <c r="AE60" s="34">
        <v>34.814300000000003</v>
      </c>
    </row>
    <row r="61" spans="1:31" x14ac:dyDescent="0.3">
      <c r="A61" s="3" t="s">
        <v>30</v>
      </c>
      <c r="B61" s="27">
        <v>14008</v>
      </c>
      <c r="C61" s="29">
        <v>325671</v>
      </c>
      <c r="D61" s="29">
        <v>41150</v>
      </c>
      <c r="E61" s="30">
        <v>6725.7</v>
      </c>
      <c r="F61" s="30">
        <v>7043.4</v>
      </c>
      <c r="G61" s="30">
        <v>1.2</v>
      </c>
      <c r="H61" s="30">
        <v>19.100000000000001</v>
      </c>
      <c r="I61" s="33">
        <v>4.0999999999999996</v>
      </c>
      <c r="J61" s="33">
        <v>82.613</v>
      </c>
      <c r="K61" s="33">
        <v>1.93</v>
      </c>
      <c r="L61" s="29">
        <v>37116</v>
      </c>
      <c r="M61" s="32">
        <v>19.899999999999999</v>
      </c>
      <c r="N61" s="32">
        <v>3.3</v>
      </c>
      <c r="O61" s="32">
        <v>34710</v>
      </c>
      <c r="P61" s="34">
        <v>6082.4</v>
      </c>
      <c r="Q61" s="34">
        <v>6940.9</v>
      </c>
      <c r="R61" s="34">
        <v>3853614</v>
      </c>
      <c r="S61" s="34">
        <v>33.6</v>
      </c>
      <c r="T61" s="34">
        <v>36.200000000000003</v>
      </c>
      <c r="U61" s="34">
        <v>30.2</v>
      </c>
      <c r="V61" s="34">
        <v>0.94599999999999995</v>
      </c>
      <c r="W61" s="34">
        <v>19.710460659999999</v>
      </c>
      <c r="X61" s="34">
        <v>13.27968495</v>
      </c>
      <c r="Y61" s="34">
        <v>48035.397900000004</v>
      </c>
      <c r="Z61" s="34">
        <v>0.97399999999999998</v>
      </c>
      <c r="AA61" s="34">
        <v>6.9000000000000006E-2</v>
      </c>
      <c r="AB61" s="34">
        <v>3.1601697990000002</v>
      </c>
      <c r="AC61" s="34">
        <v>8.1989999999999998</v>
      </c>
      <c r="AD61" s="34">
        <v>10.519649380000001</v>
      </c>
      <c r="AE61" s="34">
        <v>21.4575</v>
      </c>
    </row>
    <row r="62" spans="1:31" x14ac:dyDescent="0.3">
      <c r="A62" s="3" t="s">
        <v>57</v>
      </c>
      <c r="B62" s="27">
        <v>78873</v>
      </c>
      <c r="C62" s="29">
        <v>10858018</v>
      </c>
      <c r="D62" s="29">
        <v>16300</v>
      </c>
      <c r="E62" s="30">
        <v>61770.3</v>
      </c>
      <c r="F62" s="30">
        <v>120454.39999999999</v>
      </c>
      <c r="G62" s="30">
        <v>7.3</v>
      </c>
      <c r="H62" s="30">
        <v>7.9</v>
      </c>
      <c r="I62" s="33">
        <v>5</v>
      </c>
      <c r="J62" s="33">
        <v>80.668000000000006</v>
      </c>
      <c r="K62" s="33">
        <v>1.33</v>
      </c>
      <c r="L62" s="29">
        <v>1242924</v>
      </c>
      <c r="M62" s="32">
        <v>32.4</v>
      </c>
      <c r="N62" s="32">
        <v>82.7</v>
      </c>
      <c r="O62" s="32">
        <v>16900</v>
      </c>
      <c r="P62" s="34">
        <v>58467.199999999997</v>
      </c>
      <c r="Q62" s="34">
        <v>56662.3</v>
      </c>
      <c r="R62" s="34">
        <v>42096402</v>
      </c>
      <c r="S62" s="34">
        <v>31.5</v>
      </c>
      <c r="T62" s="34">
        <v>43</v>
      </c>
      <c r="U62" s="34">
        <v>25.4</v>
      </c>
      <c r="V62" s="34">
        <v>0.88100000000000001</v>
      </c>
      <c r="W62" s="34">
        <v>18.172274590000001</v>
      </c>
      <c r="X62" s="34">
        <v>10.743709559999999</v>
      </c>
      <c r="Y62" s="34">
        <v>28237.38753</v>
      </c>
      <c r="Z62" s="34">
        <v>0.97399999999999998</v>
      </c>
      <c r="AA62" s="34">
        <v>0.122</v>
      </c>
      <c r="AB62" s="34">
        <v>5.3631484739999999</v>
      </c>
      <c r="AC62" s="34">
        <v>8.0939999999999994</v>
      </c>
      <c r="AD62" s="34">
        <v>6.9334772940000002</v>
      </c>
      <c r="AE62" s="34">
        <v>14.7247</v>
      </c>
    </row>
    <row r="63" spans="1:31" x14ac:dyDescent="0.3">
      <c r="A63" s="3" t="s">
        <v>118</v>
      </c>
      <c r="B63" s="27">
        <v>125671</v>
      </c>
      <c r="C63" s="29">
        <v>4784383</v>
      </c>
      <c r="D63" s="29">
        <v>62160</v>
      </c>
      <c r="E63" s="30">
        <v>88264.2</v>
      </c>
      <c r="F63" s="30">
        <v>95028.5</v>
      </c>
      <c r="G63" s="30">
        <v>3.2</v>
      </c>
      <c r="H63" s="30">
        <v>5</v>
      </c>
      <c r="I63" s="33">
        <v>4.5999999999999996</v>
      </c>
      <c r="J63" s="33">
        <v>81.917000000000002</v>
      </c>
      <c r="K63" s="33">
        <v>1.77</v>
      </c>
      <c r="L63" s="29">
        <v>796410</v>
      </c>
      <c r="M63" s="32">
        <v>20.7</v>
      </c>
      <c r="N63" s="32">
        <v>70</v>
      </c>
      <c r="O63" s="32">
        <v>53750</v>
      </c>
      <c r="P63" s="34">
        <v>294747.2</v>
      </c>
      <c r="Q63" s="34">
        <v>360343.8</v>
      </c>
      <c r="R63" s="34">
        <v>34271771</v>
      </c>
      <c r="S63" s="34">
        <v>21.8</v>
      </c>
      <c r="T63" s="34">
        <v>37.799999999999997</v>
      </c>
      <c r="U63" s="34">
        <v>40.4</v>
      </c>
      <c r="V63" s="34">
        <v>0.93400000000000005</v>
      </c>
      <c r="W63" s="34">
        <v>18.705289839999999</v>
      </c>
      <c r="X63" s="34">
        <v>11.4341898</v>
      </c>
      <c r="Y63" s="34">
        <v>62004.387269999999</v>
      </c>
      <c r="Z63" s="34">
        <v>0.97399999999999998</v>
      </c>
      <c r="AA63" s="34">
        <v>8.5999999999999993E-2</v>
      </c>
      <c r="AB63" s="34">
        <v>5.5833863780000001</v>
      </c>
      <c r="AC63" s="34">
        <v>6.6029999999999998</v>
      </c>
      <c r="AD63" s="34">
        <v>8.1893326999999996</v>
      </c>
      <c r="AE63" s="34">
        <v>28.619700000000002</v>
      </c>
    </row>
    <row r="64" spans="1:31" x14ac:dyDescent="0.3">
      <c r="A64" s="3" t="s">
        <v>192</v>
      </c>
      <c r="B64" s="27">
        <v>239927</v>
      </c>
      <c r="C64" s="29">
        <v>8901064</v>
      </c>
      <c r="D64" s="29">
        <v>42720</v>
      </c>
      <c r="E64" s="30">
        <v>192334.8</v>
      </c>
      <c r="F64" s="30">
        <v>189585</v>
      </c>
      <c r="G64" s="30">
        <v>3.9</v>
      </c>
      <c r="H64" s="30">
        <v>8.1</v>
      </c>
      <c r="I64" s="33">
        <v>4.4000000000000004</v>
      </c>
      <c r="J64" s="33">
        <v>81.504000000000005</v>
      </c>
      <c r="K64" s="33">
        <v>1.44</v>
      </c>
      <c r="L64" s="29">
        <v>1760595</v>
      </c>
      <c r="M64" s="32">
        <v>28.6</v>
      </c>
      <c r="N64" s="32">
        <v>107.6</v>
      </c>
      <c r="O64" s="32">
        <v>35390</v>
      </c>
      <c r="P64" s="34">
        <v>183296.3</v>
      </c>
      <c r="Q64" s="34">
        <v>196481.1</v>
      </c>
      <c r="R64" s="34">
        <v>9168431</v>
      </c>
      <c r="S64" s="34">
        <v>18.7</v>
      </c>
      <c r="T64" s="34">
        <v>50</v>
      </c>
      <c r="U64" s="34">
        <v>31.3</v>
      </c>
      <c r="V64" s="34">
        <v>0.91600000000000004</v>
      </c>
      <c r="W64" s="34">
        <v>16.12446976</v>
      </c>
      <c r="X64" s="34">
        <v>12.305713669999999</v>
      </c>
      <c r="Y64" s="34">
        <v>52446.033710000003</v>
      </c>
      <c r="Z64" s="34">
        <v>0.97399999999999998</v>
      </c>
      <c r="AA64" s="34">
        <v>5.1999999999999998E-2</v>
      </c>
      <c r="AB64" s="34">
        <v>5.2283884140000003</v>
      </c>
      <c r="AC64" s="34">
        <v>5.3630000000000004</v>
      </c>
      <c r="AD64" s="34">
        <v>6.9738274770000004</v>
      </c>
      <c r="AE64" s="34">
        <v>25.202200000000001</v>
      </c>
    </row>
    <row r="65" spans="1:31" x14ac:dyDescent="0.3">
      <c r="A65" s="3" t="s">
        <v>193</v>
      </c>
      <c r="B65" s="27">
        <v>383123</v>
      </c>
      <c r="C65" s="29">
        <v>11522440</v>
      </c>
      <c r="D65" s="29">
        <v>39930</v>
      </c>
      <c r="E65" s="30">
        <v>230313.9</v>
      </c>
      <c r="F65" s="30">
        <v>227472.5</v>
      </c>
      <c r="G65" s="30">
        <v>4.3</v>
      </c>
      <c r="H65" s="30">
        <v>8.1</v>
      </c>
      <c r="I65" s="33">
        <v>2.8</v>
      </c>
      <c r="J65" s="33">
        <v>80.787999999999997</v>
      </c>
      <c r="K65" s="33">
        <v>1.55</v>
      </c>
      <c r="L65" s="29">
        <v>2027763</v>
      </c>
      <c r="M65" s="32">
        <v>29.9</v>
      </c>
      <c r="N65" s="32">
        <v>377.3</v>
      </c>
      <c r="O65" s="32">
        <v>34060</v>
      </c>
      <c r="P65" s="34">
        <v>353079.3</v>
      </c>
      <c r="Q65" s="34">
        <v>362293.4</v>
      </c>
      <c r="R65" s="34">
        <v>9465828</v>
      </c>
      <c r="S65" s="34">
        <v>25</v>
      </c>
      <c r="T65" s="34">
        <v>37.4</v>
      </c>
      <c r="U65" s="34">
        <v>37.6</v>
      </c>
      <c r="V65" s="34">
        <v>0.93</v>
      </c>
      <c r="W65" s="34">
        <v>19.275270460000002</v>
      </c>
      <c r="X65" s="34">
        <v>12.528577889999999</v>
      </c>
      <c r="Y65" s="34">
        <v>49491.020709999997</v>
      </c>
      <c r="Z65" s="34">
        <v>0.97399999999999998</v>
      </c>
      <c r="AA65" s="34">
        <v>4.8000000000000001E-2</v>
      </c>
      <c r="AB65" s="34">
        <v>4.7558631980000001</v>
      </c>
      <c r="AC65" s="34">
        <v>5.2389999999999999</v>
      </c>
      <c r="AD65" s="34">
        <v>7.8795735960000002</v>
      </c>
      <c r="AE65" s="34">
        <v>23.683399999999999</v>
      </c>
    </row>
    <row r="66" spans="1:31" x14ac:dyDescent="0.3">
      <c r="A66" s="3" t="s">
        <v>98</v>
      </c>
      <c r="B66" s="27">
        <v>105083</v>
      </c>
      <c r="C66" s="29">
        <v>19760585</v>
      </c>
      <c r="D66" s="29">
        <v>8500</v>
      </c>
      <c r="E66" s="30">
        <v>59891</v>
      </c>
      <c r="F66" s="30">
        <v>103995.9</v>
      </c>
      <c r="G66" s="30">
        <v>9.6999999999999993</v>
      </c>
      <c r="H66" s="30">
        <v>18.5</v>
      </c>
      <c r="I66" s="33">
        <v>6.8</v>
      </c>
      <c r="J66" s="33">
        <v>75.245999999999995</v>
      </c>
      <c r="K66" s="33">
        <v>1.69</v>
      </c>
      <c r="L66" s="29">
        <v>347344</v>
      </c>
      <c r="M66" s="32">
        <v>25.9</v>
      </c>
      <c r="N66" s="32">
        <v>85.6</v>
      </c>
      <c r="O66" s="32">
        <v>7680</v>
      </c>
      <c r="P66" s="34">
        <v>72821.399999999994</v>
      </c>
      <c r="Q66" s="34">
        <v>71046.100000000006</v>
      </c>
      <c r="R66" s="34">
        <v>15153719</v>
      </c>
      <c r="S66" s="34">
        <v>28</v>
      </c>
      <c r="T66" s="34">
        <v>56.9</v>
      </c>
      <c r="U66" s="34">
        <v>15.1</v>
      </c>
      <c r="V66" s="34">
        <v>0.81499999999999995</v>
      </c>
      <c r="W66" s="34">
        <v>14.26296043</v>
      </c>
      <c r="X66" s="34">
        <v>11.08049011</v>
      </c>
      <c r="Y66" s="34">
        <v>24428.001209999999</v>
      </c>
      <c r="Z66" s="34">
        <v>0.97499999999999998</v>
      </c>
      <c r="AA66" s="34">
        <v>0.29799999999999999</v>
      </c>
      <c r="AB66" s="34">
        <v>15.66286985</v>
      </c>
      <c r="AC66" s="34">
        <v>38.018000000000001</v>
      </c>
      <c r="AD66" s="34">
        <v>3.8748963270000001</v>
      </c>
      <c r="AE66" s="34">
        <v>12.9887</v>
      </c>
    </row>
    <row r="67" spans="1:31" x14ac:dyDescent="0.3">
      <c r="A67" s="3" t="s">
        <v>147</v>
      </c>
      <c r="B67" s="27">
        <v>117109</v>
      </c>
      <c r="C67" s="29">
        <v>4830392</v>
      </c>
      <c r="D67" s="29">
        <v>67370</v>
      </c>
      <c r="E67" s="30">
        <v>93824.1</v>
      </c>
      <c r="F67" s="30">
        <v>100471</v>
      </c>
      <c r="G67" s="30">
        <v>2.8</v>
      </c>
      <c r="H67" s="30">
        <v>5</v>
      </c>
      <c r="I67" s="33">
        <v>4.4000000000000004</v>
      </c>
      <c r="J67" s="33">
        <v>82.085999999999999</v>
      </c>
      <c r="K67" s="33">
        <v>1.75</v>
      </c>
      <c r="L67" s="29">
        <v>811245</v>
      </c>
      <c r="M67" s="32">
        <v>21.2</v>
      </c>
      <c r="N67" s="32">
        <v>70.900000000000006</v>
      </c>
      <c r="O67" s="32">
        <v>57610</v>
      </c>
      <c r="P67" s="34">
        <v>307985.3</v>
      </c>
      <c r="Q67" s="34">
        <v>401053.3</v>
      </c>
      <c r="R67" s="34">
        <v>36345005</v>
      </c>
      <c r="S67" s="34">
        <v>21.5</v>
      </c>
      <c r="T67" s="34">
        <v>38</v>
      </c>
      <c r="U67" s="34">
        <v>40.5</v>
      </c>
      <c r="V67" s="34">
        <v>0.93799999999999994</v>
      </c>
      <c r="W67" s="34">
        <v>19.756160739999999</v>
      </c>
      <c r="X67" s="34">
        <v>11.50796839</v>
      </c>
      <c r="Y67" s="34">
        <v>64966.045189999997</v>
      </c>
      <c r="Z67" s="34">
        <v>0.97499999999999998</v>
      </c>
      <c r="AA67" s="34">
        <v>8.4000000000000005E-2</v>
      </c>
      <c r="AB67" s="34">
        <v>5.4302153369999999</v>
      </c>
      <c r="AC67" s="34">
        <v>6.37</v>
      </c>
      <c r="AD67" s="34">
        <v>8.0696128890000001</v>
      </c>
      <c r="AE67" s="34">
        <v>27.042300000000001</v>
      </c>
    </row>
    <row r="68" spans="1:31" x14ac:dyDescent="0.3">
      <c r="A68" s="3" t="s">
        <v>232</v>
      </c>
      <c r="B68" s="27">
        <v>18594</v>
      </c>
      <c r="C68" s="29">
        <v>368792</v>
      </c>
      <c r="D68" s="29">
        <v>58570</v>
      </c>
      <c r="E68" s="30">
        <v>11396.4</v>
      </c>
      <c r="F68" s="30">
        <v>11235.6</v>
      </c>
      <c r="G68" s="30">
        <v>2.4</v>
      </c>
      <c r="H68" s="30">
        <v>14.4</v>
      </c>
      <c r="I68" s="33">
        <v>5</v>
      </c>
      <c r="J68" s="33">
        <v>82.677999999999997</v>
      </c>
      <c r="K68" s="33">
        <v>1.82</v>
      </c>
      <c r="L68" s="29">
        <v>67438</v>
      </c>
      <c r="M68" s="32">
        <v>22.1</v>
      </c>
      <c r="N68" s="32">
        <v>3.6</v>
      </c>
      <c r="O68" s="32">
        <v>36890</v>
      </c>
      <c r="P68" s="34">
        <v>8518.4</v>
      </c>
      <c r="Q68" s="34">
        <v>8128.4</v>
      </c>
      <c r="R68" s="34">
        <v>2437139</v>
      </c>
      <c r="S68" s="34">
        <v>24.8</v>
      </c>
      <c r="T68" s="34">
        <v>39.4</v>
      </c>
      <c r="U68" s="34">
        <v>35.799999999999997</v>
      </c>
      <c r="V68" s="34">
        <v>0.95699999999999996</v>
      </c>
      <c r="W68" s="34">
        <v>19.106729510000001</v>
      </c>
      <c r="X68" s="34">
        <v>13.76716995</v>
      </c>
      <c r="Y68" s="34">
        <v>52671.00677</v>
      </c>
      <c r="Z68" s="34">
        <v>0.97499999999999998</v>
      </c>
      <c r="AA68" s="34">
        <v>4.2000000000000003E-2</v>
      </c>
      <c r="AB68" s="34">
        <v>2.654417805</v>
      </c>
      <c r="AC68" s="34">
        <v>5.3949999999999996</v>
      </c>
      <c r="AD68" s="34">
        <v>9.4781751659999998</v>
      </c>
      <c r="AE68" s="34">
        <v>26.843599999999999</v>
      </c>
    </row>
    <row r="69" spans="1:31" x14ac:dyDescent="0.3">
      <c r="A69" s="3" t="s">
        <v>117</v>
      </c>
      <c r="B69" s="27">
        <v>17976</v>
      </c>
      <c r="C69" s="29">
        <v>338349</v>
      </c>
      <c r="D69" s="29">
        <v>63830</v>
      </c>
      <c r="E69" s="30">
        <v>11825.4</v>
      </c>
      <c r="F69" s="30">
        <v>10979.8</v>
      </c>
      <c r="G69" s="30">
        <v>4.7</v>
      </c>
      <c r="H69" s="30">
        <v>17.8</v>
      </c>
      <c r="I69" s="33">
        <v>5.8</v>
      </c>
      <c r="J69" s="33">
        <v>82.534999999999997</v>
      </c>
      <c r="K69" s="33">
        <v>1.71</v>
      </c>
      <c r="L69" s="29">
        <v>46080</v>
      </c>
      <c r="M69" s="32">
        <v>21.2</v>
      </c>
      <c r="N69" s="32">
        <v>3.4</v>
      </c>
      <c r="O69" s="32">
        <v>38280</v>
      </c>
      <c r="P69" s="34">
        <v>9040.2999999999993</v>
      </c>
      <c r="Q69" s="34">
        <v>10023.5</v>
      </c>
      <c r="R69" s="34">
        <v>8318734</v>
      </c>
      <c r="S69" s="34">
        <v>29.7</v>
      </c>
      <c r="T69" s="34">
        <v>35</v>
      </c>
      <c r="U69" s="34">
        <v>35.299999999999997</v>
      </c>
      <c r="V69" s="34">
        <v>0.95499999999999996</v>
      </c>
      <c r="W69" s="34">
        <v>18.739639279999999</v>
      </c>
      <c r="X69" s="34">
        <v>13.548289840000001</v>
      </c>
      <c r="Y69" s="34">
        <v>53923.221720000001</v>
      </c>
      <c r="Z69" s="34">
        <v>0.97599999999999998</v>
      </c>
      <c r="AA69" s="34">
        <v>5.5E-2</v>
      </c>
      <c r="AB69" s="34">
        <v>2.8049722429999999</v>
      </c>
      <c r="AC69" s="34">
        <v>6.0469999999999997</v>
      </c>
      <c r="AD69" s="34">
        <v>10.51182661</v>
      </c>
      <c r="AE69" s="34">
        <v>26.9847</v>
      </c>
    </row>
    <row r="70" spans="1:31" x14ac:dyDescent="0.3">
      <c r="A70" s="3" t="s">
        <v>191</v>
      </c>
      <c r="B70" s="27">
        <v>1631064</v>
      </c>
      <c r="C70" s="29">
        <v>66647112</v>
      </c>
      <c r="D70" s="29">
        <v>37830</v>
      </c>
      <c r="E70" s="30">
        <v>1251553.3999999999</v>
      </c>
      <c r="F70" s="30">
        <v>1618051.4</v>
      </c>
      <c r="G70" s="30">
        <v>2.8</v>
      </c>
      <c r="H70" s="30">
        <v>10.9</v>
      </c>
      <c r="I70" s="33">
        <v>4.4000000000000004</v>
      </c>
      <c r="J70" s="33">
        <v>81.724999999999994</v>
      </c>
      <c r="K70" s="33">
        <v>1.68</v>
      </c>
      <c r="L70" s="29">
        <v>9469015</v>
      </c>
      <c r="M70" s="32">
        <v>28.9</v>
      </c>
      <c r="N70" s="32">
        <v>273.8</v>
      </c>
      <c r="O70" s="32">
        <v>32910</v>
      </c>
      <c r="P70" s="34">
        <v>816551</v>
      </c>
      <c r="Q70" s="34">
        <v>785255.8</v>
      </c>
      <c r="R70" s="34">
        <v>277432380</v>
      </c>
      <c r="S70" s="34">
        <v>19.100000000000001</v>
      </c>
      <c r="T70" s="34">
        <v>40.200000000000003</v>
      </c>
      <c r="U70" s="34">
        <v>40.6</v>
      </c>
      <c r="V70" s="34">
        <v>0.93300000000000005</v>
      </c>
      <c r="W70" s="34">
        <v>17.179250719999999</v>
      </c>
      <c r="X70" s="34">
        <v>13.32452361</v>
      </c>
      <c r="Y70" s="34">
        <v>47066.257790000003</v>
      </c>
      <c r="Z70" s="34">
        <v>0.97599999999999998</v>
      </c>
      <c r="AA70" s="34">
        <v>0.106</v>
      </c>
      <c r="AB70" s="34">
        <v>9.2236018949999998</v>
      </c>
      <c r="AC70" s="34">
        <v>11.342000000000001</v>
      </c>
      <c r="AD70" s="34">
        <v>5.4621237599999999</v>
      </c>
      <c r="AE70" s="34">
        <v>16.773399999999999</v>
      </c>
    </row>
    <row r="71" spans="1:31" x14ac:dyDescent="0.3">
      <c r="A71" s="3" t="s">
        <v>88</v>
      </c>
      <c r="B71" s="27">
        <v>21324</v>
      </c>
      <c r="C71" s="29">
        <v>332529</v>
      </c>
      <c r="D71" s="29">
        <v>56070</v>
      </c>
      <c r="E71" s="30">
        <v>9696.6</v>
      </c>
      <c r="F71" s="30">
        <v>9265.1</v>
      </c>
      <c r="G71" s="30">
        <v>5.4</v>
      </c>
      <c r="H71" s="30">
        <v>19.8</v>
      </c>
      <c r="I71" s="33">
        <v>4.9000000000000004</v>
      </c>
      <c r="J71" s="33">
        <v>82.03</v>
      </c>
      <c r="K71" s="33">
        <v>1.74</v>
      </c>
      <c r="L71" s="29">
        <v>41853</v>
      </c>
      <c r="M71" s="32">
        <v>21</v>
      </c>
      <c r="N71" s="32">
        <v>3.3</v>
      </c>
      <c r="O71" s="32">
        <v>37610</v>
      </c>
      <c r="P71" s="34">
        <v>7681.3</v>
      </c>
      <c r="Q71" s="34">
        <v>8929</v>
      </c>
      <c r="R71" s="34">
        <v>6801814</v>
      </c>
      <c r="S71" s="34">
        <v>29.2</v>
      </c>
      <c r="T71" s="34">
        <v>37.4</v>
      </c>
      <c r="U71" s="34">
        <v>33.4</v>
      </c>
      <c r="V71" s="34">
        <v>0.95099999999999996</v>
      </c>
      <c r="W71" s="34">
        <v>19.066919330000001</v>
      </c>
      <c r="X71" s="34">
        <v>13.458754880000001</v>
      </c>
      <c r="Y71" s="34">
        <v>53753.702380000002</v>
      </c>
      <c r="Z71" s="34">
        <v>0.97699999999999998</v>
      </c>
      <c r="AA71" s="34">
        <v>5.1999999999999998E-2</v>
      </c>
      <c r="AB71" s="34">
        <v>2.9980339489999999</v>
      </c>
      <c r="AC71" s="34">
        <v>6.7089999999999996</v>
      </c>
      <c r="AD71" s="34">
        <v>10.413346239999999</v>
      </c>
      <c r="AE71" s="34">
        <v>24.482700000000001</v>
      </c>
    </row>
    <row r="72" spans="1:31" x14ac:dyDescent="0.3">
      <c r="A72" s="3" t="s">
        <v>220</v>
      </c>
      <c r="B72" s="27">
        <v>244416</v>
      </c>
      <c r="C72" s="29">
        <v>8932664</v>
      </c>
      <c r="D72" s="29">
        <v>45270</v>
      </c>
      <c r="E72" s="30">
        <v>201615.4</v>
      </c>
      <c r="F72" s="30">
        <v>201778.7</v>
      </c>
      <c r="G72" s="30">
        <v>4</v>
      </c>
      <c r="H72" s="30">
        <v>8</v>
      </c>
      <c r="I72" s="33">
        <v>4.4000000000000004</v>
      </c>
      <c r="J72" s="33">
        <v>81.58</v>
      </c>
      <c r="K72" s="33">
        <v>1.48</v>
      </c>
      <c r="L72" s="29">
        <v>1792053</v>
      </c>
      <c r="M72" s="32">
        <v>28.9</v>
      </c>
      <c r="N72" s="32">
        <v>108.1</v>
      </c>
      <c r="O72" s="32">
        <v>36740</v>
      </c>
      <c r="P72" s="34">
        <v>223017</v>
      </c>
      <c r="Q72" s="34">
        <v>226740</v>
      </c>
      <c r="R72" s="34">
        <v>11105564</v>
      </c>
      <c r="S72" s="34">
        <v>18.5</v>
      </c>
      <c r="T72" s="34">
        <v>49.8</v>
      </c>
      <c r="U72" s="34">
        <v>31.8</v>
      </c>
      <c r="V72" s="34">
        <v>0.92</v>
      </c>
      <c r="W72" s="34">
        <v>16.367460250000001</v>
      </c>
      <c r="X72" s="34">
        <v>12.305713669999999</v>
      </c>
      <c r="Y72" s="34">
        <v>54360.740960000003</v>
      </c>
      <c r="Z72" s="34">
        <v>0.97699999999999998</v>
      </c>
      <c r="AA72" s="34">
        <v>5.1999999999999998E-2</v>
      </c>
      <c r="AB72" s="34">
        <v>5.2283884140000003</v>
      </c>
      <c r="AC72" s="34">
        <v>5.5209999999999999</v>
      </c>
      <c r="AD72" s="34">
        <v>7.3994612469999996</v>
      </c>
      <c r="AE72" s="34">
        <v>28.0657</v>
      </c>
    </row>
    <row r="73" spans="1:31" x14ac:dyDescent="0.3">
      <c r="A73" s="3" t="s">
        <v>221</v>
      </c>
      <c r="B73" s="27">
        <v>431561</v>
      </c>
      <c r="C73" s="29">
        <v>11554767</v>
      </c>
      <c r="D73" s="29">
        <v>43840</v>
      </c>
      <c r="E73" s="30">
        <v>244418.6</v>
      </c>
      <c r="F73" s="30">
        <v>247828</v>
      </c>
      <c r="G73" s="30">
        <v>4.5</v>
      </c>
      <c r="H73" s="30">
        <v>6.7</v>
      </c>
      <c r="I73" s="33">
        <v>3.5</v>
      </c>
      <c r="J73" s="33">
        <v>81.879000000000005</v>
      </c>
      <c r="K73" s="33">
        <v>1.6</v>
      </c>
      <c r="L73" s="29">
        <v>2065727</v>
      </c>
      <c r="M73" s="32">
        <v>30.2</v>
      </c>
      <c r="N73" s="32">
        <v>378.9</v>
      </c>
      <c r="O73" s="32">
        <v>36250</v>
      </c>
      <c r="P73" s="34">
        <v>437631.7</v>
      </c>
      <c r="Q73" s="34">
        <v>446592.9</v>
      </c>
      <c r="R73" s="34">
        <v>13500020</v>
      </c>
      <c r="S73" s="34">
        <v>22.7</v>
      </c>
      <c r="T73" s="34">
        <v>37.6</v>
      </c>
      <c r="U73" s="34">
        <v>39.700000000000003</v>
      </c>
      <c r="V73" s="34">
        <v>0.93799999999999994</v>
      </c>
      <c r="W73" s="34">
        <v>18.945739750000001</v>
      </c>
      <c r="X73" s="34">
        <v>12.528577889999999</v>
      </c>
      <c r="Y73" s="34">
        <v>52299.399669999999</v>
      </c>
      <c r="Z73" s="34">
        <v>0.97699999999999998</v>
      </c>
      <c r="AA73" s="34">
        <v>4.8000000000000001E-2</v>
      </c>
      <c r="AB73" s="34">
        <v>4.7558631980000001</v>
      </c>
      <c r="AC73" s="34">
        <v>5.33</v>
      </c>
      <c r="AD73" s="34">
        <v>8.2391394200000008</v>
      </c>
      <c r="AE73" s="34">
        <v>26.557300000000001</v>
      </c>
    </row>
    <row r="74" spans="1:31" x14ac:dyDescent="0.3">
      <c r="A74" s="3" t="s">
        <v>205</v>
      </c>
      <c r="B74" s="27">
        <v>104932</v>
      </c>
      <c r="C74" s="29">
        <v>4964440</v>
      </c>
      <c r="D74" s="29">
        <v>75350</v>
      </c>
      <c r="E74" s="30">
        <v>101312.9</v>
      </c>
      <c r="F74" s="30">
        <v>94159.9</v>
      </c>
      <c r="G74" s="30">
        <v>2.9</v>
      </c>
      <c r="H74" s="30">
        <v>5</v>
      </c>
      <c r="I74" s="33">
        <v>1.9</v>
      </c>
      <c r="J74" s="33">
        <v>82.47</v>
      </c>
      <c r="K74" s="33">
        <v>1.63</v>
      </c>
      <c r="L74" s="29">
        <v>875559</v>
      </c>
      <c r="M74" s="32">
        <v>22.1</v>
      </c>
      <c r="N74" s="32">
        <v>71.900000000000006</v>
      </c>
      <c r="O74" s="32">
        <v>63120</v>
      </c>
      <c r="P74" s="34">
        <v>428237</v>
      </c>
      <c r="Q74" s="34">
        <v>498853.7</v>
      </c>
      <c r="R74" s="34">
        <v>8268297</v>
      </c>
      <c r="S74" s="34">
        <v>19.600000000000001</v>
      </c>
      <c r="T74" s="34">
        <v>37.6</v>
      </c>
      <c r="U74" s="34">
        <v>42.8</v>
      </c>
      <c r="V74" s="34">
        <v>0.94499999999999995</v>
      </c>
      <c r="W74" s="34">
        <v>18.839660640000002</v>
      </c>
      <c r="X74" s="34">
        <v>11.6569568</v>
      </c>
      <c r="Y74" s="34">
        <v>69108.811950000003</v>
      </c>
      <c r="Z74" s="34">
        <v>0.97799999999999998</v>
      </c>
      <c r="AA74" s="34">
        <v>7.2999999999999995E-2</v>
      </c>
      <c r="AB74" s="34">
        <v>4.983957073</v>
      </c>
      <c r="AC74" s="34">
        <v>5.867</v>
      </c>
      <c r="AD74" s="34">
        <v>7.1012848660000003</v>
      </c>
      <c r="AE74" s="34">
        <v>36.244700000000002</v>
      </c>
    </row>
    <row r="75" spans="1:31" x14ac:dyDescent="0.3">
      <c r="A75" s="3" t="s">
        <v>52</v>
      </c>
      <c r="B75" s="27">
        <v>222895</v>
      </c>
      <c r="C75" s="29">
        <v>5659715</v>
      </c>
      <c r="D75" s="29">
        <v>48050</v>
      </c>
      <c r="E75" s="30">
        <v>140649.4</v>
      </c>
      <c r="F75" s="30">
        <v>128622.6</v>
      </c>
      <c r="G75" s="30">
        <v>3.1</v>
      </c>
      <c r="H75" s="30">
        <v>8.1</v>
      </c>
      <c r="I75" s="33">
        <v>5.0999999999999996</v>
      </c>
      <c r="J75" s="33">
        <v>80.738</v>
      </c>
      <c r="K75" s="33">
        <v>1.71</v>
      </c>
      <c r="L75" s="29">
        <v>595876</v>
      </c>
      <c r="M75" s="32">
        <v>28.8</v>
      </c>
      <c r="N75" s="32">
        <v>132.4</v>
      </c>
      <c r="O75" s="32">
        <v>45630</v>
      </c>
      <c r="P75" s="34">
        <v>132768.6</v>
      </c>
      <c r="Q75" s="34">
        <v>151301.4</v>
      </c>
      <c r="R75" s="34">
        <v>30095505</v>
      </c>
      <c r="S75" s="34">
        <v>27.9</v>
      </c>
      <c r="T75" s="34">
        <v>41.9</v>
      </c>
      <c r="U75" s="34">
        <v>30.2</v>
      </c>
      <c r="V75" s="34">
        <v>0.93600000000000005</v>
      </c>
      <c r="W75" s="34">
        <v>19.296899799999998</v>
      </c>
      <c r="X75" s="34">
        <v>12.63831997</v>
      </c>
      <c r="Y75" s="34">
        <v>54520.040110000002</v>
      </c>
      <c r="Z75" s="34">
        <v>0.97899999999999998</v>
      </c>
      <c r="AA75" s="34">
        <v>3.5000000000000003E-2</v>
      </c>
      <c r="AB75" s="34">
        <v>5.6014999860000003</v>
      </c>
      <c r="AC75" s="34">
        <v>3.5609999999999999</v>
      </c>
      <c r="AD75" s="34">
        <v>6.183843167</v>
      </c>
      <c r="AE75" s="34">
        <v>22.005199999999999</v>
      </c>
    </row>
    <row r="76" spans="1:31" x14ac:dyDescent="0.3">
      <c r="A76" s="3" t="s">
        <v>81</v>
      </c>
      <c r="B76" s="27">
        <v>221592</v>
      </c>
      <c r="C76" s="29">
        <v>5707251</v>
      </c>
      <c r="D76" s="29">
        <v>49420</v>
      </c>
      <c r="E76" s="30">
        <v>145491.20000000001</v>
      </c>
      <c r="F76" s="30">
        <v>132135.70000000001</v>
      </c>
      <c r="G76" s="30">
        <v>3.7</v>
      </c>
      <c r="H76" s="30">
        <v>7.5</v>
      </c>
      <c r="I76" s="33">
        <v>5.4</v>
      </c>
      <c r="J76" s="33">
        <v>80.88</v>
      </c>
      <c r="K76" s="33">
        <v>1.79</v>
      </c>
      <c r="L76" s="29">
        <v>636666</v>
      </c>
      <c r="M76" s="32">
        <v>29.3</v>
      </c>
      <c r="N76" s="32">
        <v>136.4</v>
      </c>
      <c r="O76" s="32">
        <v>46720</v>
      </c>
      <c r="P76" s="34">
        <v>132333.5</v>
      </c>
      <c r="Q76" s="34">
        <v>151254.1</v>
      </c>
      <c r="R76" s="34">
        <v>32763142</v>
      </c>
      <c r="S76" s="34">
        <v>27.3</v>
      </c>
      <c r="T76" s="34">
        <v>41.6</v>
      </c>
      <c r="U76" s="34">
        <v>31.1</v>
      </c>
      <c r="V76" s="34">
        <v>0.94299999999999995</v>
      </c>
      <c r="W76" s="34">
        <v>19.0395298</v>
      </c>
      <c r="X76" s="34">
        <v>13.162819860000001</v>
      </c>
      <c r="Y76" s="34">
        <v>55515.416940000003</v>
      </c>
      <c r="Z76" s="34">
        <v>0.97899999999999998</v>
      </c>
      <c r="AA76" s="34">
        <v>3.4000000000000002E-2</v>
      </c>
      <c r="AB76" s="34">
        <v>5.4772562130000004</v>
      </c>
      <c r="AC76" s="34">
        <v>3.5110000000000001</v>
      </c>
      <c r="AD76" s="34">
        <v>6.4688146209999999</v>
      </c>
      <c r="AE76" s="34">
        <v>23.734000000000002</v>
      </c>
    </row>
    <row r="77" spans="1:31" x14ac:dyDescent="0.3">
      <c r="A77" s="3" t="s">
        <v>131</v>
      </c>
      <c r="B77" s="27">
        <v>353729</v>
      </c>
      <c r="C77" s="29">
        <v>9995153</v>
      </c>
      <c r="D77" s="29">
        <v>47730</v>
      </c>
      <c r="E77" s="30">
        <v>226713.4</v>
      </c>
      <c r="F77" s="30">
        <v>219459</v>
      </c>
      <c r="G77" s="30">
        <v>2.5</v>
      </c>
      <c r="H77" s="30">
        <v>7.7</v>
      </c>
      <c r="I77" s="33">
        <v>5.2</v>
      </c>
      <c r="J77" s="33">
        <v>82.438000000000002</v>
      </c>
      <c r="K77" s="33">
        <v>1.78</v>
      </c>
      <c r="L77" s="29">
        <v>1783179</v>
      </c>
      <c r="M77" s="32">
        <v>31.6</v>
      </c>
      <c r="N77" s="32">
        <v>24.7</v>
      </c>
      <c r="O77" s="32">
        <v>43430</v>
      </c>
      <c r="P77" s="34">
        <v>197770.7</v>
      </c>
      <c r="Q77" s="34">
        <v>209937.8</v>
      </c>
      <c r="R77" s="34">
        <v>38456213</v>
      </c>
      <c r="S77" s="34">
        <v>21.1</v>
      </c>
      <c r="T77" s="34">
        <v>42.9</v>
      </c>
      <c r="U77" s="34">
        <v>36</v>
      </c>
      <c r="V77" s="34">
        <v>0.94099999999999995</v>
      </c>
      <c r="W77" s="34">
        <v>18.864200589999999</v>
      </c>
      <c r="X77" s="34">
        <v>12.48604965</v>
      </c>
      <c r="Y77" s="34">
        <v>52868.779009999998</v>
      </c>
      <c r="Z77" s="34">
        <v>0.97899999999999998</v>
      </c>
      <c r="AA77" s="34">
        <v>3.4000000000000002E-2</v>
      </c>
      <c r="AB77" s="34">
        <v>4.5124882739999999</v>
      </c>
      <c r="AC77" s="34">
        <v>4.3159999999999998</v>
      </c>
      <c r="AD77" s="34">
        <v>4.2210974339999998</v>
      </c>
      <c r="AE77" s="34">
        <v>24.4373</v>
      </c>
    </row>
    <row r="78" spans="1:31" x14ac:dyDescent="0.3">
      <c r="A78" s="3" t="s">
        <v>176</v>
      </c>
      <c r="B78" s="27">
        <v>88325</v>
      </c>
      <c r="C78" s="29">
        <v>4904240</v>
      </c>
      <c r="D78" s="29">
        <v>72320</v>
      </c>
      <c r="E78" s="30">
        <v>100973.7</v>
      </c>
      <c r="F78" s="30">
        <v>104797.7</v>
      </c>
      <c r="G78" s="30">
        <v>2.8</v>
      </c>
      <c r="H78" s="30">
        <v>5.0999999999999996</v>
      </c>
      <c r="I78" s="33">
        <v>4.4000000000000004</v>
      </c>
      <c r="J78" s="33">
        <v>82.259</v>
      </c>
      <c r="K78" s="33">
        <v>1.71</v>
      </c>
      <c r="L78" s="29">
        <v>844412</v>
      </c>
      <c r="M78" s="32">
        <v>21.6</v>
      </c>
      <c r="N78" s="32">
        <v>71.900000000000006</v>
      </c>
      <c r="O78" s="32">
        <v>59840</v>
      </c>
      <c r="P78" s="34">
        <v>443633</v>
      </c>
      <c r="Q78" s="34">
        <v>456152.6</v>
      </c>
      <c r="R78" s="34">
        <v>37947510</v>
      </c>
      <c r="S78" s="34">
        <v>21</v>
      </c>
      <c r="T78" s="34">
        <v>38.299999999999997</v>
      </c>
      <c r="U78" s="34">
        <v>40.700000000000003</v>
      </c>
      <c r="V78" s="34">
        <v>0.94199999999999995</v>
      </c>
      <c r="W78" s="34">
        <v>18.94522095</v>
      </c>
      <c r="X78" s="34">
        <v>11.58222303</v>
      </c>
      <c r="Y78" s="34">
        <v>67651.590079999994</v>
      </c>
      <c r="Z78" s="34">
        <v>0.97899999999999998</v>
      </c>
      <c r="AA78" s="34">
        <v>7.9000000000000001E-2</v>
      </c>
      <c r="AB78" s="34">
        <v>5.5232049249999999</v>
      </c>
      <c r="AC78" s="34">
        <v>5.7960000000000003</v>
      </c>
      <c r="AD78" s="34">
        <v>7.623704075</v>
      </c>
      <c r="AE78" s="34">
        <v>37.982700000000001</v>
      </c>
    </row>
    <row r="79" spans="1:31" x14ac:dyDescent="0.3">
      <c r="A79" s="3" t="s">
        <v>43</v>
      </c>
      <c r="B79" s="27">
        <v>1034232</v>
      </c>
      <c r="C79" s="29">
        <v>46512199</v>
      </c>
      <c r="D79" s="29">
        <v>22230</v>
      </c>
      <c r="E79" s="30">
        <v>473531</v>
      </c>
      <c r="F79" s="30">
        <v>612711</v>
      </c>
      <c r="G79" s="30">
        <v>3.6</v>
      </c>
      <c r="H79" s="30">
        <v>21.9</v>
      </c>
      <c r="I79" s="33">
        <v>3.4</v>
      </c>
      <c r="J79" s="33">
        <v>82.858000000000004</v>
      </c>
      <c r="K79" s="33">
        <v>1.32</v>
      </c>
      <c r="L79" s="29">
        <v>5958308</v>
      </c>
      <c r="M79" s="32">
        <v>27.2</v>
      </c>
      <c r="N79" s="32">
        <v>92.5</v>
      </c>
      <c r="O79" s="32">
        <v>22220</v>
      </c>
      <c r="P79" s="34">
        <v>313606</v>
      </c>
      <c r="Q79" s="34">
        <v>345593</v>
      </c>
      <c r="R79" s="34">
        <v>165354382</v>
      </c>
      <c r="S79" s="34">
        <v>44.5</v>
      </c>
      <c r="T79" s="34">
        <v>23.9</v>
      </c>
      <c r="U79" s="34">
        <v>31.7</v>
      </c>
      <c r="V79" s="34">
        <v>0.88400000000000001</v>
      </c>
      <c r="W79" s="34">
        <v>17.285339359999998</v>
      </c>
      <c r="X79" s="34">
        <v>9.7200403210000008</v>
      </c>
      <c r="Y79" s="34">
        <v>35852.331639999997</v>
      </c>
      <c r="Z79" s="34">
        <v>0.98</v>
      </c>
      <c r="AA79" s="34">
        <v>7.9000000000000001E-2</v>
      </c>
      <c r="AB79" s="34">
        <v>4.0063788320000002</v>
      </c>
      <c r="AC79" s="34">
        <v>8.0730000000000004</v>
      </c>
      <c r="AD79" s="34">
        <v>5.4704004350000002</v>
      </c>
      <c r="AE79" s="34">
        <v>14.2822</v>
      </c>
    </row>
    <row r="80" spans="1:31" x14ac:dyDescent="0.3">
      <c r="A80" s="3" t="s">
        <v>127</v>
      </c>
      <c r="B80" s="27">
        <v>130919</v>
      </c>
      <c r="C80" s="29">
        <v>19643949</v>
      </c>
      <c r="D80" s="29">
        <v>9510</v>
      </c>
      <c r="E80" s="30">
        <v>69537.5</v>
      </c>
      <c r="F80" s="30">
        <v>117064.7</v>
      </c>
      <c r="G80" s="30">
        <v>10</v>
      </c>
      <c r="H80" s="30">
        <v>18.100000000000001</v>
      </c>
      <c r="I80" s="33">
        <v>7.3</v>
      </c>
      <c r="J80" s="33">
        <v>75.951999999999998</v>
      </c>
      <c r="K80" s="33">
        <v>1.78</v>
      </c>
      <c r="L80" s="29">
        <v>419238</v>
      </c>
      <c r="M80" s="32">
        <v>26.7</v>
      </c>
      <c r="N80" s="32">
        <v>85.2</v>
      </c>
      <c r="O80" s="32">
        <v>8360</v>
      </c>
      <c r="P80" s="34">
        <v>83547.5</v>
      </c>
      <c r="Q80" s="34">
        <v>78910.7</v>
      </c>
      <c r="R80" s="34">
        <v>17934774</v>
      </c>
      <c r="S80" s="34">
        <v>27</v>
      </c>
      <c r="T80" s="34">
        <v>57.7</v>
      </c>
      <c r="U80" s="34">
        <v>15.3</v>
      </c>
      <c r="V80" s="34">
        <v>0.82299999999999995</v>
      </c>
      <c r="W80" s="34">
        <v>14.23019028</v>
      </c>
      <c r="X80" s="34">
        <v>11.14865017</v>
      </c>
      <c r="Y80" s="34">
        <v>26557.756389999999</v>
      </c>
      <c r="Z80" s="34">
        <v>0.98</v>
      </c>
      <c r="AA80" s="34">
        <v>0.253</v>
      </c>
      <c r="AB80" s="34">
        <v>12.756585530000001</v>
      </c>
      <c r="AC80" s="34">
        <v>38.65</v>
      </c>
      <c r="AD80" s="34">
        <v>4.0433267869999998</v>
      </c>
      <c r="AE80" s="34">
        <v>13.907999999999999</v>
      </c>
    </row>
    <row r="81" spans="1:31" x14ac:dyDescent="0.3">
      <c r="A81" s="3" t="s">
        <v>146</v>
      </c>
      <c r="B81" s="27">
        <v>11719</v>
      </c>
      <c r="C81" s="29">
        <v>348450</v>
      </c>
      <c r="D81" s="29">
        <v>63050</v>
      </c>
      <c r="E81" s="30">
        <v>12292.1</v>
      </c>
      <c r="F81" s="30">
        <v>11182.9</v>
      </c>
      <c r="G81" s="30">
        <v>5.0999999999999996</v>
      </c>
      <c r="H81" s="30">
        <v>21.5</v>
      </c>
      <c r="I81" s="33">
        <v>4.4000000000000004</v>
      </c>
      <c r="J81" s="33">
        <v>82.77</v>
      </c>
      <c r="K81" s="33">
        <v>1.71</v>
      </c>
      <c r="L81" s="29">
        <v>53540</v>
      </c>
      <c r="M81" s="32">
        <v>21.1</v>
      </c>
      <c r="N81" s="32">
        <v>3.5</v>
      </c>
      <c r="O81" s="32">
        <v>39090</v>
      </c>
      <c r="P81" s="34">
        <v>9471.2999999999993</v>
      </c>
      <c r="Q81" s="34">
        <v>10240</v>
      </c>
      <c r="R81" s="34">
        <v>10166386</v>
      </c>
      <c r="S81" s="34">
        <v>29</v>
      </c>
      <c r="T81" s="34">
        <v>34.5</v>
      </c>
      <c r="U81" s="34">
        <v>36.5</v>
      </c>
      <c r="V81" s="34">
        <v>0.95799999999999996</v>
      </c>
      <c r="W81" s="34">
        <v>18.500459670000001</v>
      </c>
      <c r="X81" s="34">
        <v>13.63782481</v>
      </c>
      <c r="Y81" s="34">
        <v>55715.931040000003</v>
      </c>
      <c r="Z81" s="34">
        <v>0.98</v>
      </c>
      <c r="AA81" s="34">
        <v>5.1999999999999998E-2</v>
      </c>
      <c r="AB81" s="34">
        <v>2.8032400740000001</v>
      </c>
      <c r="AC81" s="34">
        <v>5.6989999999999998</v>
      </c>
      <c r="AD81" s="34">
        <v>10.395357929999999</v>
      </c>
      <c r="AE81" s="34">
        <v>28.566199999999998</v>
      </c>
    </row>
    <row r="82" spans="1:31" x14ac:dyDescent="0.3">
      <c r="A82" s="3" t="s">
        <v>225</v>
      </c>
      <c r="B82" s="27">
        <v>181016</v>
      </c>
      <c r="C82" s="29">
        <v>5840045</v>
      </c>
      <c r="D82" s="29">
        <v>58590</v>
      </c>
      <c r="E82" s="30">
        <v>172398.1</v>
      </c>
      <c r="F82" s="30">
        <v>155423.20000000001</v>
      </c>
      <c r="G82" s="30">
        <v>2.2000000000000002</v>
      </c>
      <c r="H82" s="30">
        <v>9.8000000000000007</v>
      </c>
      <c r="I82" s="33">
        <v>4.7</v>
      </c>
      <c r="J82" s="33">
        <v>81.375</v>
      </c>
      <c r="K82" s="33">
        <v>1.72</v>
      </c>
      <c r="L82" s="29">
        <v>721135</v>
      </c>
      <c r="M82" s="32">
        <v>31.7</v>
      </c>
      <c r="N82" s="32">
        <v>138.9</v>
      </c>
      <c r="O82" s="32">
        <v>50740</v>
      </c>
      <c r="P82" s="34">
        <v>178371.9</v>
      </c>
      <c r="Q82" s="34">
        <v>201328.6</v>
      </c>
      <c r="R82" s="34">
        <v>10817817</v>
      </c>
      <c r="S82" s="34">
        <v>25.3</v>
      </c>
      <c r="T82" s="34">
        <v>39.799999999999997</v>
      </c>
      <c r="U82" s="34">
        <v>34.9</v>
      </c>
      <c r="V82" s="34">
        <v>0.94699999999999995</v>
      </c>
      <c r="W82" s="34">
        <v>18.77403069</v>
      </c>
      <c r="X82" s="34">
        <v>12.96049023</v>
      </c>
      <c r="Y82" s="34">
        <v>59993.310060000003</v>
      </c>
      <c r="Z82" s="34">
        <v>0.98</v>
      </c>
      <c r="AA82" s="34">
        <v>1.2999999999999999E-2</v>
      </c>
      <c r="AB82" s="34">
        <v>4.6577167099999999</v>
      </c>
      <c r="AC82" s="34">
        <v>1.9079999999999999</v>
      </c>
      <c r="AD82" s="34">
        <v>5.0575821970000003</v>
      </c>
      <c r="AE82" s="34">
        <v>24.145499999999998</v>
      </c>
    </row>
    <row r="83" spans="1:31" x14ac:dyDescent="0.3">
      <c r="A83" s="3" t="s">
        <v>46</v>
      </c>
      <c r="B83" s="27">
        <v>2633503</v>
      </c>
      <c r="C83" s="29">
        <v>64351203</v>
      </c>
      <c r="D83" s="29">
        <v>35780</v>
      </c>
      <c r="E83" s="30">
        <v>1121016.7</v>
      </c>
      <c r="F83" s="30">
        <v>1486108.8</v>
      </c>
      <c r="G83" s="30">
        <v>2.9</v>
      </c>
      <c r="H83" s="30">
        <v>11.8</v>
      </c>
      <c r="I83" s="33">
        <v>4.5</v>
      </c>
      <c r="J83" s="33">
        <v>81.16</v>
      </c>
      <c r="K83" s="33">
        <v>1.81</v>
      </c>
      <c r="L83" s="29">
        <v>8039324</v>
      </c>
      <c r="M83" s="32">
        <v>27</v>
      </c>
      <c r="N83" s="32">
        <v>266.39999999999998</v>
      </c>
      <c r="O83" s="32">
        <v>31290</v>
      </c>
      <c r="P83" s="34">
        <v>687561.4</v>
      </c>
      <c r="Q83" s="34">
        <v>651669.69999999995</v>
      </c>
      <c r="R83" s="34">
        <v>220022122</v>
      </c>
      <c r="S83" s="34">
        <v>20.9</v>
      </c>
      <c r="T83" s="34">
        <v>42.5</v>
      </c>
      <c r="U83" s="34">
        <v>36.6</v>
      </c>
      <c r="V83" s="34">
        <v>0.92400000000000004</v>
      </c>
      <c r="W83" s="34">
        <v>17.501859660000001</v>
      </c>
      <c r="X83" s="34">
        <v>12.88897991</v>
      </c>
      <c r="Y83" s="34">
        <v>43207.874380000001</v>
      </c>
      <c r="Z83" s="34">
        <v>0.98099999999999998</v>
      </c>
      <c r="AA83" s="34">
        <v>0.14399999999999999</v>
      </c>
      <c r="AB83" s="34">
        <v>8.4588053320000007</v>
      </c>
      <c r="AC83" s="34">
        <v>15.983000000000001</v>
      </c>
      <c r="AD83" s="34">
        <v>6.7744845180000004</v>
      </c>
      <c r="AE83" s="34">
        <v>18.394500000000001</v>
      </c>
    </row>
    <row r="84" spans="1:31" x14ac:dyDescent="0.3">
      <c r="A84" s="3" t="s">
        <v>72</v>
      </c>
      <c r="B84" s="27">
        <v>1147009</v>
      </c>
      <c r="C84" s="29">
        <v>46449565</v>
      </c>
      <c r="D84" s="29">
        <v>23230</v>
      </c>
      <c r="E84" s="30">
        <v>492892</v>
      </c>
      <c r="F84" s="30">
        <v>630215</v>
      </c>
      <c r="G84" s="30">
        <v>3.6</v>
      </c>
      <c r="H84" s="30">
        <v>20</v>
      </c>
      <c r="I84" s="33">
        <v>3.6</v>
      </c>
      <c r="J84" s="33">
        <v>82.646000000000001</v>
      </c>
      <c r="K84" s="33">
        <v>1.33</v>
      </c>
      <c r="L84" s="29">
        <v>5891208</v>
      </c>
      <c r="M84" s="32">
        <v>27.9</v>
      </c>
      <c r="N84" s="32">
        <v>92.5</v>
      </c>
      <c r="O84" s="32">
        <v>23090</v>
      </c>
      <c r="P84" s="34">
        <v>329598</v>
      </c>
      <c r="Q84" s="34">
        <v>362356</v>
      </c>
      <c r="R84" s="34">
        <v>174652503</v>
      </c>
      <c r="S84" s="34">
        <v>43.5</v>
      </c>
      <c r="T84" s="34">
        <v>24.4</v>
      </c>
      <c r="U84" s="34">
        <v>32.1</v>
      </c>
      <c r="V84" s="34">
        <v>0.88900000000000001</v>
      </c>
      <c r="W84" s="34">
        <v>17.404239650000001</v>
      </c>
      <c r="X84" s="34">
        <v>9.9121398930000009</v>
      </c>
      <c r="Y84" s="34">
        <v>37385.840750000003</v>
      </c>
      <c r="Z84" s="34">
        <v>0.98099999999999998</v>
      </c>
      <c r="AA84" s="34">
        <v>7.3999999999999996E-2</v>
      </c>
      <c r="AB84" s="34">
        <v>3.8808595339999998</v>
      </c>
      <c r="AC84" s="34">
        <v>7.6280000000000001</v>
      </c>
      <c r="AD84" s="34">
        <v>5.8315673930000003</v>
      </c>
      <c r="AE84" s="34">
        <v>13.8323</v>
      </c>
    </row>
    <row r="85" spans="1:31" x14ac:dyDescent="0.3">
      <c r="A85" s="3" t="s">
        <v>75</v>
      </c>
      <c r="B85" s="27">
        <v>2692786</v>
      </c>
      <c r="C85" s="29">
        <v>64853393</v>
      </c>
      <c r="D85" s="29">
        <v>40620</v>
      </c>
      <c r="E85" s="30">
        <v>1280859.3999999999</v>
      </c>
      <c r="F85" s="30">
        <v>1699335.9</v>
      </c>
      <c r="G85" s="30">
        <v>2.8</v>
      </c>
      <c r="H85" s="30">
        <v>10.8</v>
      </c>
      <c r="I85" s="33">
        <v>4.4000000000000004</v>
      </c>
      <c r="J85" s="33">
        <v>80.924000000000007</v>
      </c>
      <c r="K85" s="33">
        <v>1.8</v>
      </c>
      <c r="L85" s="29">
        <v>8406996</v>
      </c>
      <c r="M85" s="32">
        <v>27.5</v>
      </c>
      <c r="N85" s="32">
        <v>268.5</v>
      </c>
      <c r="O85" s="32">
        <v>31780</v>
      </c>
      <c r="P85" s="34">
        <v>759999.4</v>
      </c>
      <c r="Q85" s="34">
        <v>721048.7</v>
      </c>
      <c r="R85" s="34">
        <v>232270437</v>
      </c>
      <c r="S85" s="34">
        <v>20.3</v>
      </c>
      <c r="T85" s="34">
        <v>42.1</v>
      </c>
      <c r="U85" s="34">
        <v>37.6</v>
      </c>
      <c r="V85" s="34">
        <v>0.92300000000000004</v>
      </c>
      <c r="W85" s="34">
        <v>17.308160780000001</v>
      </c>
      <c r="X85" s="34">
        <v>12.979763350000001</v>
      </c>
      <c r="Y85" s="34">
        <v>43714.152929999997</v>
      </c>
      <c r="Z85" s="34">
        <v>0.98099999999999998</v>
      </c>
      <c r="AA85" s="34">
        <v>0.13</v>
      </c>
      <c r="AB85" s="34">
        <v>8.3911390580000003</v>
      </c>
      <c r="AC85" s="34">
        <v>14.856999999999999</v>
      </c>
      <c r="AD85" s="34">
        <v>6.4770397759999998</v>
      </c>
      <c r="AE85" s="34">
        <v>18.334099999999999</v>
      </c>
    </row>
    <row r="86" spans="1:31" x14ac:dyDescent="0.3">
      <c r="A86" s="3" t="s">
        <v>110</v>
      </c>
      <c r="B86" s="27">
        <v>218358</v>
      </c>
      <c r="C86" s="29">
        <v>5748769</v>
      </c>
      <c r="D86" s="29">
        <v>51140</v>
      </c>
      <c r="E86" s="30">
        <v>150361.4</v>
      </c>
      <c r="F86" s="30">
        <v>136671.6</v>
      </c>
      <c r="G86" s="30">
        <v>3</v>
      </c>
      <c r="H86" s="30">
        <v>8.8000000000000007</v>
      </c>
      <c r="I86" s="33">
        <v>5.5</v>
      </c>
      <c r="J86" s="33">
        <v>81.111000000000004</v>
      </c>
      <c r="K86" s="33">
        <v>1.75</v>
      </c>
      <c r="L86" s="29">
        <v>668090</v>
      </c>
      <c r="M86" s="32">
        <v>29.7</v>
      </c>
      <c r="N86" s="32">
        <v>137.30000000000001</v>
      </c>
      <c r="O86" s="32">
        <v>47740</v>
      </c>
      <c r="P86" s="34">
        <v>141219</v>
      </c>
      <c r="Q86" s="34">
        <v>162372.6</v>
      </c>
      <c r="R86" s="34">
        <v>33261214</v>
      </c>
      <c r="S86" s="34">
        <v>26.7</v>
      </c>
      <c r="T86" s="34">
        <v>41.1</v>
      </c>
      <c r="U86" s="34">
        <v>32.200000000000003</v>
      </c>
      <c r="V86" s="34">
        <v>0.94399999999999995</v>
      </c>
      <c r="W86" s="34">
        <v>18.824329380000002</v>
      </c>
      <c r="X86" s="34">
        <v>13.011765</v>
      </c>
      <c r="Y86" s="34">
        <v>56568.415889999997</v>
      </c>
      <c r="Z86" s="34">
        <v>0.98099999999999998</v>
      </c>
      <c r="AA86" s="34">
        <v>2.7E-2</v>
      </c>
      <c r="AB86" s="34">
        <v>4.9994617960000003</v>
      </c>
      <c r="AC86" s="34">
        <v>2.8929999999999998</v>
      </c>
      <c r="AD86" s="34">
        <v>6.0419878120000003</v>
      </c>
      <c r="AE86" s="34">
        <v>23.335599999999999</v>
      </c>
    </row>
    <row r="87" spans="1:31" x14ac:dyDescent="0.3">
      <c r="A87" s="3" t="s">
        <v>139</v>
      </c>
      <c r="B87" s="27">
        <v>225410</v>
      </c>
      <c r="C87" s="29">
        <v>5781190</v>
      </c>
      <c r="D87" s="29">
        <v>52180</v>
      </c>
      <c r="E87" s="30">
        <v>154874.9</v>
      </c>
      <c r="F87" s="30">
        <v>142036.29999999999</v>
      </c>
      <c r="G87" s="30">
        <v>3</v>
      </c>
      <c r="H87" s="30">
        <v>10.4</v>
      </c>
      <c r="I87" s="33">
        <v>4.4000000000000004</v>
      </c>
      <c r="J87" s="33">
        <v>80.989999999999995</v>
      </c>
      <c r="K87" s="33">
        <v>1.73</v>
      </c>
      <c r="L87" s="29">
        <v>690549</v>
      </c>
      <c r="M87" s="32">
        <v>30.1</v>
      </c>
      <c r="N87" s="32">
        <v>138</v>
      </c>
      <c r="O87" s="32">
        <v>48450</v>
      </c>
      <c r="P87" s="34">
        <v>152419.6</v>
      </c>
      <c r="Q87" s="34">
        <v>170996.5</v>
      </c>
      <c r="R87" s="34">
        <v>34701139</v>
      </c>
      <c r="S87" s="34">
        <v>26.5</v>
      </c>
      <c r="T87" s="34">
        <v>40.9</v>
      </c>
      <c r="U87" s="34">
        <v>32.6</v>
      </c>
      <c r="V87" s="34">
        <v>0.94199999999999995</v>
      </c>
      <c r="W87" s="34">
        <v>18.72179985</v>
      </c>
      <c r="X87" s="34">
        <v>12.86071014</v>
      </c>
      <c r="Y87" s="34">
        <v>57733.303319999999</v>
      </c>
      <c r="Z87" s="34">
        <v>0.98099999999999998</v>
      </c>
      <c r="AA87" s="34">
        <v>2.1999999999999999E-2</v>
      </c>
      <c r="AB87" s="34">
        <v>5.0132707979999998</v>
      </c>
      <c r="AC87" s="34">
        <v>2.4950000000000001</v>
      </c>
      <c r="AD87" s="34">
        <v>6.0015405729999998</v>
      </c>
      <c r="AE87" s="34">
        <v>25.1769</v>
      </c>
    </row>
    <row r="88" spans="1:31" x14ac:dyDescent="0.3">
      <c r="A88" s="3" t="s">
        <v>160</v>
      </c>
      <c r="B88" s="27">
        <v>356036</v>
      </c>
      <c r="C88" s="29">
        <v>10120242</v>
      </c>
      <c r="D88" s="29">
        <v>46260</v>
      </c>
      <c r="E88" s="30">
        <v>225196.9</v>
      </c>
      <c r="F88" s="30">
        <v>215084.9</v>
      </c>
      <c r="G88" s="30">
        <v>3.2</v>
      </c>
      <c r="H88" s="30">
        <v>7.5</v>
      </c>
      <c r="I88" s="33">
        <v>4.4000000000000004</v>
      </c>
      <c r="J88" s="33">
        <v>82.533000000000001</v>
      </c>
      <c r="K88" s="33">
        <v>1.76</v>
      </c>
      <c r="L88" s="29">
        <v>1875637</v>
      </c>
      <c r="M88" s="32">
        <v>31.7</v>
      </c>
      <c r="N88" s="32">
        <v>25</v>
      </c>
      <c r="O88" s="32">
        <v>43760</v>
      </c>
      <c r="P88" s="34">
        <v>204498.7</v>
      </c>
      <c r="Q88" s="34">
        <v>215017.9</v>
      </c>
      <c r="R88" s="34">
        <v>38945096</v>
      </c>
      <c r="S88" s="34">
        <v>20.9</v>
      </c>
      <c r="T88" s="34">
        <v>42</v>
      </c>
      <c r="U88" s="34">
        <v>37.1</v>
      </c>
      <c r="V88" s="34">
        <v>0.94299999999999995</v>
      </c>
      <c r="W88" s="34">
        <v>18.895189290000001</v>
      </c>
      <c r="X88" s="34">
        <v>12.547884939999999</v>
      </c>
      <c r="Y88" s="34">
        <v>53389.10183</v>
      </c>
      <c r="Z88" s="34">
        <v>0.98099999999999998</v>
      </c>
      <c r="AA88" s="34">
        <v>0.03</v>
      </c>
      <c r="AB88" s="34">
        <v>4.5347645630000004</v>
      </c>
      <c r="AC88" s="34">
        <v>4.0659999999999998</v>
      </c>
      <c r="AD88" s="34">
        <v>4.1365250260000002</v>
      </c>
      <c r="AE88" s="34">
        <v>26.105799999999999</v>
      </c>
    </row>
    <row r="89" spans="1:31" x14ac:dyDescent="0.3">
      <c r="A89" s="3" t="s">
        <v>168</v>
      </c>
      <c r="B89" s="27">
        <v>198162</v>
      </c>
      <c r="C89" s="29">
        <v>5806081</v>
      </c>
      <c r="D89" s="29">
        <v>53210</v>
      </c>
      <c r="E89" s="30">
        <v>160034.79999999999</v>
      </c>
      <c r="F89" s="30">
        <v>145320.29999999999</v>
      </c>
      <c r="G89" s="30">
        <v>3.4</v>
      </c>
      <c r="H89" s="30">
        <v>9.9</v>
      </c>
      <c r="I89" s="33">
        <v>4.4000000000000004</v>
      </c>
      <c r="J89" s="33">
        <v>81.433999999999997</v>
      </c>
      <c r="K89" s="33">
        <v>1.7</v>
      </c>
      <c r="L89" s="29">
        <v>707880</v>
      </c>
      <c r="M89" s="32">
        <v>30.6</v>
      </c>
      <c r="N89" s="32">
        <v>138.5</v>
      </c>
      <c r="O89" s="32">
        <v>48970</v>
      </c>
      <c r="P89" s="34">
        <v>159646.39999999999</v>
      </c>
      <c r="Q89" s="34">
        <v>181528.5</v>
      </c>
      <c r="R89" s="34">
        <v>34780127</v>
      </c>
      <c r="S89" s="34">
        <v>26</v>
      </c>
      <c r="T89" s="34">
        <v>40.6</v>
      </c>
      <c r="U89" s="34">
        <v>33.4</v>
      </c>
      <c r="V89" s="34">
        <v>0.94599999999999995</v>
      </c>
      <c r="W89" s="34">
        <v>18.620130540000002</v>
      </c>
      <c r="X89" s="34">
        <v>12.91060019</v>
      </c>
      <c r="Y89" s="34">
        <v>58453.587570000003</v>
      </c>
      <c r="Z89" s="34">
        <v>0.98099999999999998</v>
      </c>
      <c r="AA89" s="34">
        <v>1.6E-2</v>
      </c>
      <c r="AB89" s="34">
        <v>4.5194546390000001</v>
      </c>
      <c r="AC89" s="34">
        <v>2.1230000000000002</v>
      </c>
      <c r="AD89" s="34">
        <v>5.3400537420000003</v>
      </c>
      <c r="AE89" s="34">
        <v>22.973500000000001</v>
      </c>
    </row>
    <row r="90" spans="1:31" x14ac:dyDescent="0.3">
      <c r="A90" s="3" t="s">
        <v>197</v>
      </c>
      <c r="B90" s="27">
        <v>185382</v>
      </c>
      <c r="C90" s="29">
        <v>5822763</v>
      </c>
      <c r="D90" s="29">
        <v>53410</v>
      </c>
      <c r="E90" s="30">
        <v>162810.70000000001</v>
      </c>
      <c r="F90" s="30">
        <v>144067.79999999999</v>
      </c>
      <c r="G90" s="30">
        <v>2.8</v>
      </c>
      <c r="H90" s="30">
        <v>9.3000000000000007</v>
      </c>
      <c r="I90" s="33">
        <v>4.9000000000000004</v>
      </c>
      <c r="J90" s="33">
        <v>81.545000000000002</v>
      </c>
      <c r="K90" s="33">
        <v>1.68</v>
      </c>
      <c r="L90" s="29">
        <v>715936</v>
      </c>
      <c r="M90" s="32">
        <v>31.1</v>
      </c>
      <c r="N90" s="32">
        <v>138.5</v>
      </c>
      <c r="O90" s="32">
        <v>47680</v>
      </c>
      <c r="P90" s="34">
        <v>151431.5</v>
      </c>
      <c r="Q90" s="34">
        <v>171619</v>
      </c>
      <c r="R90" s="34">
        <v>8658654</v>
      </c>
      <c r="S90" s="34">
        <v>25.9</v>
      </c>
      <c r="T90" s="34">
        <v>40.4</v>
      </c>
      <c r="U90" s="34">
        <v>33.700000000000003</v>
      </c>
      <c r="V90" s="34">
        <v>0.94599999999999995</v>
      </c>
      <c r="W90" s="34">
        <v>18.640319819999998</v>
      </c>
      <c r="X90" s="34">
        <v>12.96049023</v>
      </c>
      <c r="Y90" s="34">
        <v>57324.123800000001</v>
      </c>
      <c r="Z90" s="34">
        <v>0.98099999999999998</v>
      </c>
      <c r="AA90" s="34">
        <v>1.2999999999999999E-2</v>
      </c>
      <c r="AB90" s="34">
        <v>4.6577167099999999</v>
      </c>
      <c r="AC90" s="34">
        <v>1.893</v>
      </c>
      <c r="AD90" s="34">
        <v>4.8577830320000004</v>
      </c>
      <c r="AE90" s="34">
        <v>23.861499999999999</v>
      </c>
    </row>
    <row r="91" spans="1:31" x14ac:dyDescent="0.3">
      <c r="A91" s="3" t="s">
        <v>242</v>
      </c>
      <c r="B91" s="27">
        <v>150641</v>
      </c>
      <c r="C91" s="29">
        <v>19201662</v>
      </c>
      <c r="D91" s="29">
        <v>12630</v>
      </c>
      <c r="E91" s="30">
        <v>91300.6</v>
      </c>
      <c r="F91" s="30">
        <v>148534.20000000001</v>
      </c>
      <c r="G91" s="30">
        <v>9.3000000000000007</v>
      </c>
      <c r="H91" s="30">
        <v>15.3</v>
      </c>
      <c r="I91" s="33">
        <v>6</v>
      </c>
      <c r="J91" s="33">
        <v>74.185000000000002</v>
      </c>
      <c r="K91" s="33">
        <v>1.81</v>
      </c>
      <c r="L91" s="29">
        <v>688697</v>
      </c>
      <c r="M91" s="32">
        <v>29.7</v>
      </c>
      <c r="N91" s="32">
        <v>82.2</v>
      </c>
      <c r="O91" s="32">
        <v>9600</v>
      </c>
      <c r="P91" s="34">
        <v>111774.5</v>
      </c>
      <c r="Q91" s="34">
        <v>98072.4</v>
      </c>
      <c r="R91" s="34">
        <v>10384613</v>
      </c>
      <c r="S91" s="34">
        <v>21.6</v>
      </c>
      <c r="T91" s="34">
        <v>62.1</v>
      </c>
      <c r="U91" s="34">
        <v>16.399999999999999</v>
      </c>
      <c r="V91" s="34">
        <v>0.82499999999999996</v>
      </c>
      <c r="W91" s="34">
        <v>14.507530210000001</v>
      </c>
      <c r="X91" s="34">
        <v>11.36019615</v>
      </c>
      <c r="Y91" s="34">
        <v>30312.021909999999</v>
      </c>
      <c r="Z91" s="34">
        <v>0.98099999999999998</v>
      </c>
      <c r="AA91" s="34">
        <v>0.23599999999999999</v>
      </c>
      <c r="AB91" s="34">
        <v>10.070801530000001</v>
      </c>
      <c r="AC91" s="34">
        <v>36.375999999999998</v>
      </c>
      <c r="AD91" s="34">
        <v>3.9936032479999999</v>
      </c>
      <c r="AE91" s="34">
        <v>16.1554</v>
      </c>
    </row>
    <row r="92" spans="1:31" x14ac:dyDescent="0.3">
      <c r="A92" s="3" t="s">
        <v>21</v>
      </c>
      <c r="B92" s="27">
        <v>35715</v>
      </c>
      <c r="C92" s="29">
        <v>4246809</v>
      </c>
      <c r="D92" s="29">
        <v>10410</v>
      </c>
      <c r="E92" s="30">
        <v>20194.7</v>
      </c>
      <c r="F92" s="30">
        <v>26230.400000000001</v>
      </c>
      <c r="G92" s="30">
        <v>7.3</v>
      </c>
      <c r="H92" s="30">
        <v>2.8</v>
      </c>
      <c r="I92" s="33">
        <v>4.5999999999999996</v>
      </c>
      <c r="J92" s="33">
        <v>77.953000000000003</v>
      </c>
      <c r="K92" s="33">
        <v>1.46</v>
      </c>
      <c r="L92" s="29">
        <v>568678</v>
      </c>
      <c r="M92" s="32">
        <v>27.6</v>
      </c>
      <c r="N92" s="32">
        <v>74.900000000000006</v>
      </c>
      <c r="O92" s="32">
        <v>10480</v>
      </c>
      <c r="P92" s="34">
        <v>18951.900000000001</v>
      </c>
      <c r="Q92" s="34">
        <v>18782.7</v>
      </c>
      <c r="R92" s="34">
        <v>6140797</v>
      </c>
      <c r="S92" s="34">
        <v>21</v>
      </c>
      <c r="T92" s="34">
        <v>60.5</v>
      </c>
      <c r="U92" s="34">
        <v>18.5</v>
      </c>
      <c r="V92" s="34">
        <v>0.84199999999999997</v>
      </c>
      <c r="W92" s="34">
        <v>15.35783005</v>
      </c>
      <c r="X92" s="34">
        <v>11.5256223</v>
      </c>
      <c r="Y92" s="34">
        <v>23763.866379999999</v>
      </c>
      <c r="Z92" s="34">
        <v>0.98199999999999998</v>
      </c>
      <c r="AA92" s="34">
        <v>0.11799999999999999</v>
      </c>
      <c r="AB92" s="34">
        <v>5.8903894079999999</v>
      </c>
      <c r="AC92" s="34">
        <v>10.218</v>
      </c>
      <c r="AD92" s="34">
        <v>4.1273845859999998</v>
      </c>
      <c r="AE92" s="34">
        <v>14.3856</v>
      </c>
    </row>
    <row r="93" spans="1:31" x14ac:dyDescent="0.3">
      <c r="A93" s="3" t="s">
        <v>104</v>
      </c>
      <c r="B93" s="27">
        <v>2540617</v>
      </c>
      <c r="C93" s="29">
        <v>65379044</v>
      </c>
      <c r="D93" s="29">
        <v>37080</v>
      </c>
      <c r="E93" s="30">
        <v>1179798.2</v>
      </c>
      <c r="F93" s="30">
        <v>1577768.8</v>
      </c>
      <c r="G93" s="30">
        <v>2.8</v>
      </c>
      <c r="H93" s="30">
        <v>11.2</v>
      </c>
      <c r="I93" s="33">
        <v>4.4000000000000004</v>
      </c>
      <c r="J93" s="33">
        <v>81.075000000000003</v>
      </c>
      <c r="K93" s="33">
        <v>1.79</v>
      </c>
      <c r="L93" s="29">
        <v>8696511</v>
      </c>
      <c r="M93" s="32">
        <v>27.8</v>
      </c>
      <c r="N93" s="32">
        <v>270.60000000000002</v>
      </c>
      <c r="O93" s="32">
        <v>32060</v>
      </c>
      <c r="P93" s="34">
        <v>731391.9</v>
      </c>
      <c r="Q93" s="34">
        <v>687323.7</v>
      </c>
      <c r="R93" s="34">
        <v>248868873</v>
      </c>
      <c r="S93" s="34">
        <v>20.5</v>
      </c>
      <c r="T93" s="34">
        <v>41.2</v>
      </c>
      <c r="U93" s="34">
        <v>38.299999999999997</v>
      </c>
      <c r="V93" s="34">
        <v>0.92600000000000005</v>
      </c>
      <c r="W93" s="34">
        <v>17.35995007</v>
      </c>
      <c r="X93" s="34">
        <v>13.07054679</v>
      </c>
      <c r="Y93" s="34">
        <v>44249.956630000001</v>
      </c>
      <c r="Z93" s="34">
        <v>0.98199999999999998</v>
      </c>
      <c r="AA93" s="34">
        <v>0.125</v>
      </c>
      <c r="AB93" s="34">
        <v>8.5131931170000001</v>
      </c>
      <c r="AC93" s="34">
        <v>14.162000000000001</v>
      </c>
      <c r="AD93" s="34">
        <v>6.0837539410000003</v>
      </c>
      <c r="AE93" s="34">
        <v>17.581399999999999</v>
      </c>
    </row>
    <row r="94" spans="1:31" x14ac:dyDescent="0.3">
      <c r="A94" s="3" t="s">
        <v>156</v>
      </c>
      <c r="B94" s="27">
        <v>161562</v>
      </c>
      <c r="C94" s="29">
        <v>19533481</v>
      </c>
      <c r="D94" s="29">
        <v>10580</v>
      </c>
      <c r="E94" s="30">
        <v>78335.199999999997</v>
      </c>
      <c r="F94" s="30">
        <v>130601.5</v>
      </c>
      <c r="G94" s="30">
        <v>9.6</v>
      </c>
      <c r="H94" s="30">
        <v>16.399999999999999</v>
      </c>
      <c r="I94" s="33">
        <v>4.4000000000000004</v>
      </c>
      <c r="J94" s="33">
        <v>76.155000000000001</v>
      </c>
      <c r="K94" s="33">
        <v>1.76</v>
      </c>
      <c r="L94" s="29">
        <v>510526</v>
      </c>
      <c r="M94" s="32">
        <v>27.5</v>
      </c>
      <c r="N94" s="32">
        <v>83.1</v>
      </c>
      <c r="O94" s="32">
        <v>8910</v>
      </c>
      <c r="P94" s="34">
        <v>92585.9</v>
      </c>
      <c r="Q94" s="34">
        <v>85605.9</v>
      </c>
      <c r="R94" s="34">
        <v>19809642</v>
      </c>
      <c r="S94" s="34">
        <v>26.3</v>
      </c>
      <c r="T94" s="34">
        <v>58.2</v>
      </c>
      <c r="U94" s="34">
        <v>15.5</v>
      </c>
      <c r="V94" s="34">
        <v>0.82899999999999996</v>
      </c>
      <c r="W94" s="34">
        <v>14.355549809999999</v>
      </c>
      <c r="X94" s="34">
        <v>11.211884980000001</v>
      </c>
      <c r="Y94" s="34">
        <v>28192.992839999999</v>
      </c>
      <c r="Z94" s="34">
        <v>0.98199999999999998</v>
      </c>
      <c r="AA94" s="34">
        <v>0.24299999999999999</v>
      </c>
      <c r="AB94" s="34">
        <v>11.40143063</v>
      </c>
      <c r="AC94" s="34">
        <v>37.732999999999997</v>
      </c>
      <c r="AD94" s="34">
        <v>4.094486077</v>
      </c>
      <c r="AE94" s="34">
        <v>15.501200000000001</v>
      </c>
    </row>
    <row r="95" spans="1:31" x14ac:dyDescent="0.3">
      <c r="A95" s="3" t="s">
        <v>185</v>
      </c>
      <c r="B95" s="27">
        <v>126351</v>
      </c>
      <c r="C95" s="29">
        <v>19414458</v>
      </c>
      <c r="D95" s="29">
        <v>11560</v>
      </c>
      <c r="E95" s="30">
        <v>86552.5</v>
      </c>
      <c r="F95" s="30">
        <v>139603.4</v>
      </c>
      <c r="G95" s="30">
        <v>9.6</v>
      </c>
      <c r="H95" s="30">
        <v>15.3</v>
      </c>
      <c r="I95" s="33">
        <v>4.4000000000000004</v>
      </c>
      <c r="J95" s="33">
        <v>76.507999999999996</v>
      </c>
      <c r="K95" s="33">
        <v>1.77</v>
      </c>
      <c r="L95" s="29">
        <v>611627</v>
      </c>
      <c r="M95" s="32">
        <v>28.1</v>
      </c>
      <c r="N95" s="32">
        <v>82.7</v>
      </c>
      <c r="O95" s="32">
        <v>9300</v>
      </c>
      <c r="P95" s="34">
        <v>99317.5</v>
      </c>
      <c r="Q95" s="34">
        <v>90120.2</v>
      </c>
      <c r="R95" s="34">
        <v>21565865</v>
      </c>
      <c r="S95" s="34">
        <v>25.1</v>
      </c>
      <c r="T95" s="34">
        <v>58.9</v>
      </c>
      <c r="U95" s="34">
        <v>16</v>
      </c>
      <c r="V95" s="34">
        <v>0.83399999999999996</v>
      </c>
      <c r="W95" s="34">
        <v>14.416859629999999</v>
      </c>
      <c r="X95" s="34">
        <v>11.275119780000001</v>
      </c>
      <c r="Y95" s="34">
        <v>29568.957139999999</v>
      </c>
      <c r="Z95" s="34">
        <v>0.98199999999999998</v>
      </c>
      <c r="AA95" s="34">
        <v>0.23200000000000001</v>
      </c>
      <c r="AB95" s="34">
        <v>10.35986072</v>
      </c>
      <c r="AC95" s="34">
        <v>37.090000000000003</v>
      </c>
      <c r="AD95" s="34">
        <v>3.9379414619999999</v>
      </c>
      <c r="AE95" s="34">
        <v>14.1602</v>
      </c>
    </row>
    <row r="96" spans="1:31" x14ac:dyDescent="0.3">
      <c r="A96" s="3" t="s">
        <v>204</v>
      </c>
      <c r="B96" s="27">
        <v>12798</v>
      </c>
      <c r="C96" s="29">
        <v>364134</v>
      </c>
      <c r="D96" s="29">
        <v>51700</v>
      </c>
      <c r="E96" s="30">
        <v>10147.9</v>
      </c>
      <c r="F96" s="30">
        <v>9845.1</v>
      </c>
      <c r="G96" s="30">
        <v>2.2000000000000002</v>
      </c>
      <c r="H96" s="30">
        <v>14.8</v>
      </c>
      <c r="I96" s="33">
        <v>5</v>
      </c>
      <c r="J96" s="33">
        <v>82.575999999999993</v>
      </c>
      <c r="K96" s="33">
        <v>1.72</v>
      </c>
      <c r="L96" s="29">
        <v>65205</v>
      </c>
      <c r="M96" s="32">
        <v>21.6</v>
      </c>
      <c r="N96" s="32">
        <v>3.6</v>
      </c>
      <c r="O96" s="32">
        <v>35660</v>
      </c>
      <c r="P96" s="34">
        <v>6568.4</v>
      </c>
      <c r="Q96" s="34">
        <v>6311.5</v>
      </c>
      <c r="R96" s="34">
        <v>1527633</v>
      </c>
      <c r="S96" s="34">
        <v>27.6</v>
      </c>
      <c r="T96" s="34">
        <v>35.6</v>
      </c>
      <c r="U96" s="34">
        <v>36.799999999999997</v>
      </c>
      <c r="V96" s="34">
        <v>0.95499999999999996</v>
      </c>
      <c r="W96" s="34">
        <v>18.23974037</v>
      </c>
      <c r="X96" s="34">
        <v>13.76716995</v>
      </c>
      <c r="Y96" s="34">
        <v>51984.129529999998</v>
      </c>
      <c r="Z96" s="34">
        <v>0.98199999999999998</v>
      </c>
      <c r="AA96" s="34">
        <v>5.0999999999999997E-2</v>
      </c>
      <c r="AB96" s="34">
        <v>2.654417805</v>
      </c>
      <c r="AC96" s="34">
        <v>5.51</v>
      </c>
      <c r="AD96" s="34">
        <v>9.1079420399999993</v>
      </c>
      <c r="AE96" s="34">
        <v>23.870799999999999</v>
      </c>
    </row>
    <row r="97" spans="1:31" x14ac:dyDescent="0.3">
      <c r="A97" s="3" t="s">
        <v>58</v>
      </c>
      <c r="B97" s="27">
        <v>96555</v>
      </c>
      <c r="C97" s="29">
        <v>9855571</v>
      </c>
      <c r="D97" s="29">
        <v>11460</v>
      </c>
      <c r="E97" s="30">
        <v>47079.6</v>
      </c>
      <c r="F97" s="30">
        <v>55314.2</v>
      </c>
      <c r="G97" s="30">
        <v>6.5</v>
      </c>
      <c r="H97" s="30">
        <v>11.6</v>
      </c>
      <c r="I97" s="33">
        <v>4.7</v>
      </c>
      <c r="J97" s="33">
        <v>75.652000000000001</v>
      </c>
      <c r="K97" s="33">
        <v>1.45</v>
      </c>
      <c r="L97" s="29">
        <v>475508</v>
      </c>
      <c r="M97" s="32">
        <v>26.5</v>
      </c>
      <c r="N97" s="32">
        <v>107.9</v>
      </c>
      <c r="O97" s="32">
        <v>11220</v>
      </c>
      <c r="P97" s="34">
        <v>90000.5</v>
      </c>
      <c r="Q97" s="34">
        <v>98722</v>
      </c>
      <c r="R97" s="34">
        <v>10228352</v>
      </c>
      <c r="S97" s="34">
        <v>21.9</v>
      </c>
      <c r="T97" s="34">
        <v>57.2</v>
      </c>
      <c r="U97" s="34">
        <v>20.9</v>
      </c>
      <c r="V97" s="34">
        <v>0.83899999999999997</v>
      </c>
      <c r="W97" s="34">
        <v>15.31834984</v>
      </c>
      <c r="X97" s="34">
        <v>11.84778976</v>
      </c>
      <c r="Y97" s="34">
        <v>26203.76154</v>
      </c>
      <c r="Z97" s="34">
        <v>0.98299999999999998</v>
      </c>
      <c r="AA97" s="34">
        <v>0.26200000000000001</v>
      </c>
      <c r="AB97" s="34">
        <v>14.78401143</v>
      </c>
      <c r="AC97" s="34">
        <v>23.966000000000001</v>
      </c>
      <c r="AD97" s="34">
        <v>4.7456554820000001</v>
      </c>
      <c r="AE97" s="34">
        <v>13.262700000000001</v>
      </c>
    </row>
    <row r="98" spans="1:31" x14ac:dyDescent="0.3">
      <c r="A98" s="3" t="s">
        <v>64</v>
      </c>
      <c r="B98" s="27">
        <v>50561</v>
      </c>
      <c r="C98" s="29">
        <v>562958</v>
      </c>
      <c r="D98" s="29">
        <v>95090</v>
      </c>
      <c r="E98" s="30">
        <v>25058.1</v>
      </c>
      <c r="F98" s="30">
        <v>17614.900000000001</v>
      </c>
      <c r="G98" s="30">
        <v>6.3</v>
      </c>
      <c r="H98" s="30">
        <v>9.3000000000000007</v>
      </c>
      <c r="I98" s="33">
        <v>3.6</v>
      </c>
      <c r="J98" s="33">
        <v>81.837999999999994</v>
      </c>
      <c r="K98" s="33">
        <v>1.47</v>
      </c>
      <c r="L98" s="29">
        <v>248888</v>
      </c>
      <c r="M98" s="32">
        <v>20.5</v>
      </c>
      <c r="N98" s="32">
        <v>220.3</v>
      </c>
      <c r="O98" s="32">
        <v>82820</v>
      </c>
      <c r="P98" s="34">
        <v>86246.8</v>
      </c>
      <c r="Q98" s="34">
        <v>103864.1</v>
      </c>
      <c r="R98" s="34">
        <v>2651751</v>
      </c>
      <c r="S98" s="34">
        <v>30.3</v>
      </c>
      <c r="T98" s="34">
        <v>34.5</v>
      </c>
      <c r="U98" s="34">
        <v>35.200000000000003</v>
      </c>
      <c r="V98" s="34">
        <v>0.91400000000000003</v>
      </c>
      <c r="W98" s="34">
        <v>14.11491013</v>
      </c>
      <c r="X98" s="34">
        <v>12.45672989</v>
      </c>
      <c r="Y98" s="34">
        <v>72288.536489999999</v>
      </c>
      <c r="Z98" s="34">
        <v>0.98299999999999998</v>
      </c>
      <c r="AA98" s="34">
        <v>6.5000000000000002E-2</v>
      </c>
      <c r="AB98" s="34">
        <v>6.9208775070000002</v>
      </c>
      <c r="AC98" s="34">
        <v>5.3929999999999998</v>
      </c>
      <c r="AD98" s="34">
        <v>16.42231932</v>
      </c>
      <c r="AE98" s="34">
        <v>36.527700000000003</v>
      </c>
    </row>
    <row r="99" spans="1:31" x14ac:dyDescent="0.3">
      <c r="A99" s="3" t="s">
        <v>116</v>
      </c>
      <c r="B99" s="27">
        <v>136601</v>
      </c>
      <c r="C99" s="29">
        <v>9797561</v>
      </c>
      <c r="D99" s="29">
        <v>12980</v>
      </c>
      <c r="E99" s="30">
        <v>54535.1</v>
      </c>
      <c r="F99" s="30">
        <v>63630.9</v>
      </c>
      <c r="G99" s="30">
        <v>6.4</v>
      </c>
      <c r="H99" s="30">
        <v>12.5</v>
      </c>
      <c r="I99" s="33">
        <v>5.2</v>
      </c>
      <c r="J99" s="33">
        <v>76.004999999999995</v>
      </c>
      <c r="K99" s="33">
        <v>1.54</v>
      </c>
      <c r="L99" s="29">
        <v>513649</v>
      </c>
      <c r="M99" s="32">
        <v>27.9</v>
      </c>
      <c r="N99" s="32">
        <v>107.3</v>
      </c>
      <c r="O99" s="32">
        <v>12020</v>
      </c>
      <c r="P99" s="34">
        <v>100741.9</v>
      </c>
      <c r="Q99" s="34">
        <v>109139</v>
      </c>
      <c r="R99" s="34">
        <v>13350029</v>
      </c>
      <c r="S99" s="34">
        <v>21.1</v>
      </c>
      <c r="T99" s="34">
        <v>58</v>
      </c>
      <c r="U99" s="34">
        <v>20.9</v>
      </c>
      <c r="V99" s="34">
        <v>0.84599999999999997</v>
      </c>
      <c r="W99" s="34">
        <v>15.24666023</v>
      </c>
      <c r="X99" s="34">
        <v>11.979454990000001</v>
      </c>
      <c r="Y99" s="34">
        <v>28302.773430000001</v>
      </c>
      <c r="Z99" s="34">
        <v>0.98299999999999998</v>
      </c>
      <c r="AA99" s="34">
        <v>0.26100000000000001</v>
      </c>
      <c r="AB99" s="34">
        <v>14.44918775</v>
      </c>
      <c r="AC99" s="34">
        <v>23.913</v>
      </c>
      <c r="AD99" s="34">
        <v>5.0649299040000004</v>
      </c>
      <c r="AE99" s="34">
        <v>13.3782</v>
      </c>
    </row>
    <row r="100" spans="1:31" x14ac:dyDescent="0.3">
      <c r="A100" s="3" t="s">
        <v>133</v>
      </c>
      <c r="B100" s="27">
        <v>2367147</v>
      </c>
      <c r="C100" s="29">
        <v>65844142</v>
      </c>
      <c r="D100" s="29">
        <v>35730</v>
      </c>
      <c r="E100" s="30">
        <v>1148630.6000000001</v>
      </c>
      <c r="F100" s="30">
        <v>1522118.9</v>
      </c>
      <c r="G100" s="30">
        <v>2.8</v>
      </c>
      <c r="H100" s="30">
        <v>10.6</v>
      </c>
      <c r="I100" s="33">
        <v>4.4000000000000004</v>
      </c>
      <c r="J100" s="33">
        <v>81.168000000000006</v>
      </c>
      <c r="K100" s="33">
        <v>1.74</v>
      </c>
      <c r="L100" s="29">
        <v>9298018</v>
      </c>
      <c r="M100" s="32">
        <v>28.2</v>
      </c>
      <c r="N100" s="32">
        <v>272.39999999999998</v>
      </c>
      <c r="O100" s="32">
        <v>32430</v>
      </c>
      <c r="P100" s="34">
        <v>744586.9</v>
      </c>
      <c r="Q100" s="34">
        <v>710493.1</v>
      </c>
      <c r="R100" s="34">
        <v>264629454</v>
      </c>
      <c r="S100" s="34">
        <v>20</v>
      </c>
      <c r="T100" s="34">
        <v>41.3</v>
      </c>
      <c r="U100" s="34">
        <v>38.700000000000003</v>
      </c>
      <c r="V100" s="34">
        <v>0.92900000000000005</v>
      </c>
      <c r="W100" s="34">
        <v>17.411739350000001</v>
      </c>
      <c r="X100" s="34">
        <v>13.16133022</v>
      </c>
      <c r="Y100" s="34">
        <v>45607.637139999999</v>
      </c>
      <c r="Z100" s="34">
        <v>0.98299999999999998</v>
      </c>
      <c r="AA100" s="34">
        <v>0.11700000000000001</v>
      </c>
      <c r="AB100" s="34">
        <v>8.5187619649999995</v>
      </c>
      <c r="AC100" s="34">
        <v>13.141</v>
      </c>
      <c r="AD100" s="34">
        <v>5.8634412960000004</v>
      </c>
      <c r="AE100" s="34">
        <v>16.428799999999999</v>
      </c>
    </row>
    <row r="101" spans="1:31" x14ac:dyDescent="0.3">
      <c r="A101" s="3" t="s">
        <v>174</v>
      </c>
      <c r="B101" s="27">
        <v>128031</v>
      </c>
      <c r="C101" s="29">
        <v>9772756</v>
      </c>
      <c r="D101" s="29">
        <v>15000</v>
      </c>
      <c r="E101" s="30">
        <v>60623.3</v>
      </c>
      <c r="F101" s="30">
        <v>72124.2</v>
      </c>
      <c r="G101" s="30">
        <v>6.2</v>
      </c>
      <c r="H101" s="30">
        <v>11.8</v>
      </c>
      <c r="I101" s="33">
        <v>4.4000000000000004</v>
      </c>
      <c r="J101" s="33">
        <v>76.453999999999994</v>
      </c>
      <c r="K101" s="33">
        <v>1.55</v>
      </c>
      <c r="L101" s="29">
        <v>564761</v>
      </c>
      <c r="M101" s="32">
        <v>29.3</v>
      </c>
      <c r="N101" s="32">
        <v>107.1</v>
      </c>
      <c r="O101" s="32">
        <v>13310</v>
      </c>
      <c r="P101" s="34">
        <v>116102.8</v>
      </c>
      <c r="Q101" s="34">
        <v>119485.5</v>
      </c>
      <c r="R101" s="34">
        <v>16700750</v>
      </c>
      <c r="S101" s="34">
        <v>20</v>
      </c>
      <c r="T101" s="34">
        <v>57.6</v>
      </c>
      <c r="U101" s="34">
        <v>22.5</v>
      </c>
      <c r="V101" s="34">
        <v>0.85399999999999998</v>
      </c>
      <c r="W101" s="34">
        <v>15.03030014</v>
      </c>
      <c r="X101" s="34">
        <v>12.15954494</v>
      </c>
      <c r="Y101" s="34">
        <v>31789.809440000001</v>
      </c>
      <c r="Z101" s="34">
        <v>0.98299999999999998</v>
      </c>
      <c r="AA101" s="34">
        <v>0.23899999999999999</v>
      </c>
      <c r="AB101" s="34">
        <v>14.10704647</v>
      </c>
      <c r="AC101" s="34">
        <v>21.994</v>
      </c>
      <c r="AD101" s="34">
        <v>5.0462064499999997</v>
      </c>
      <c r="AE101" s="34">
        <v>15.183</v>
      </c>
    </row>
    <row r="102" spans="1:31" x14ac:dyDescent="0.3">
      <c r="A102" s="3" t="s">
        <v>203</v>
      </c>
      <c r="B102" s="27">
        <v>121920</v>
      </c>
      <c r="C102" s="29">
        <v>9769526</v>
      </c>
      <c r="D102" s="29">
        <v>14140</v>
      </c>
      <c r="E102" s="30">
        <v>56970.1</v>
      </c>
      <c r="F102" s="30">
        <v>68237.3</v>
      </c>
      <c r="G102" s="30">
        <v>4.7</v>
      </c>
      <c r="H102" s="30">
        <v>12.1</v>
      </c>
      <c r="I102" s="33">
        <v>6.9</v>
      </c>
      <c r="J102" s="33">
        <v>75.73</v>
      </c>
      <c r="K102" s="33">
        <v>1.59</v>
      </c>
      <c r="L102" s="29">
        <v>593937</v>
      </c>
      <c r="M102" s="32">
        <v>30.3</v>
      </c>
      <c r="N102" s="32">
        <v>107.1</v>
      </c>
      <c r="O102" s="32">
        <v>12740</v>
      </c>
      <c r="P102" s="34">
        <v>105850.4</v>
      </c>
      <c r="Q102" s="34">
        <v>108508.8</v>
      </c>
      <c r="R102" s="34">
        <v>3962687</v>
      </c>
      <c r="S102" s="34">
        <v>19.7</v>
      </c>
      <c r="T102" s="34">
        <v>56.7</v>
      </c>
      <c r="U102" s="34">
        <v>23.6</v>
      </c>
      <c r="V102" s="34">
        <v>0.84899999999999998</v>
      </c>
      <c r="W102" s="34">
        <v>15.05834961</v>
      </c>
      <c r="X102" s="34">
        <v>12.24958992</v>
      </c>
      <c r="Y102" s="34">
        <v>30482.805850000001</v>
      </c>
      <c r="Z102" s="34">
        <v>0.98299999999999998</v>
      </c>
      <c r="AA102" s="34">
        <v>0.247</v>
      </c>
      <c r="AB102" s="34">
        <v>15.04888628</v>
      </c>
      <c r="AC102" s="34">
        <v>22.286000000000001</v>
      </c>
      <c r="AD102" s="34">
        <v>4.8546377740000004</v>
      </c>
      <c r="AE102" s="34">
        <v>16.135200000000001</v>
      </c>
    </row>
    <row r="103" spans="1:31" x14ac:dyDescent="0.3">
      <c r="A103" s="3" t="s">
        <v>50</v>
      </c>
      <c r="B103" s="27">
        <v>44106</v>
      </c>
      <c r="C103" s="29">
        <v>4225316</v>
      </c>
      <c r="D103" s="29">
        <v>10780</v>
      </c>
      <c r="E103" s="30">
        <v>20636.5</v>
      </c>
      <c r="F103" s="30">
        <v>26316.9</v>
      </c>
      <c r="G103" s="30">
        <v>8.3000000000000007</v>
      </c>
      <c r="H103" s="30">
        <v>2.8</v>
      </c>
      <c r="I103" s="33">
        <v>4.7</v>
      </c>
      <c r="J103" s="33">
        <v>77.56</v>
      </c>
      <c r="K103" s="33">
        <v>1.4</v>
      </c>
      <c r="L103" s="29">
        <v>561093</v>
      </c>
      <c r="M103" s="32">
        <v>28.3</v>
      </c>
      <c r="N103" s="32">
        <v>74.400000000000006</v>
      </c>
      <c r="O103" s="32">
        <v>10810</v>
      </c>
      <c r="P103" s="34">
        <v>20569.900000000001</v>
      </c>
      <c r="Q103" s="34">
        <v>20665.5</v>
      </c>
      <c r="R103" s="34">
        <v>6571698</v>
      </c>
      <c r="S103" s="34">
        <v>20.399999999999999</v>
      </c>
      <c r="T103" s="34">
        <v>59.9</v>
      </c>
      <c r="U103" s="34">
        <v>19.7</v>
      </c>
      <c r="V103" s="34">
        <v>0.84399999999999997</v>
      </c>
      <c r="W103" s="34">
        <v>15.315219880000001</v>
      </c>
      <c r="X103" s="34">
        <v>11.65574329</v>
      </c>
      <c r="Y103" s="34">
        <v>25062.690350000001</v>
      </c>
      <c r="Z103" s="34">
        <v>0.98399999999999999</v>
      </c>
      <c r="AA103" s="34">
        <v>0.14199999999999999</v>
      </c>
      <c r="AB103" s="34">
        <v>6.146268031</v>
      </c>
      <c r="AC103" s="34">
        <v>9.7840000000000007</v>
      </c>
      <c r="AD103" s="34">
        <v>4.1893008270000003</v>
      </c>
      <c r="AE103" s="34">
        <v>12.120699999999999</v>
      </c>
    </row>
    <row r="104" spans="1:31" x14ac:dyDescent="0.3">
      <c r="A104" s="3" t="s">
        <v>87</v>
      </c>
      <c r="B104" s="27">
        <v>116265</v>
      </c>
      <c r="C104" s="29">
        <v>9830485</v>
      </c>
      <c r="D104" s="29">
        <v>11850</v>
      </c>
      <c r="E104" s="30">
        <v>49781.599999999999</v>
      </c>
      <c r="F104" s="30">
        <v>58226.400000000001</v>
      </c>
      <c r="G104" s="30">
        <v>6.2</v>
      </c>
      <c r="H104" s="30">
        <v>12.4</v>
      </c>
      <c r="I104" s="33">
        <v>5.3</v>
      </c>
      <c r="J104" s="33">
        <v>76.155000000000001</v>
      </c>
      <c r="K104" s="33">
        <v>1.53</v>
      </c>
      <c r="L104" s="29">
        <v>503787</v>
      </c>
      <c r="M104" s="32">
        <v>27.2</v>
      </c>
      <c r="N104" s="32">
        <v>107.6</v>
      </c>
      <c r="O104" s="32">
        <v>11500</v>
      </c>
      <c r="P104" s="34">
        <v>90678.5</v>
      </c>
      <c r="Q104" s="34">
        <v>100450.4</v>
      </c>
      <c r="R104" s="34">
        <v>11660366</v>
      </c>
      <c r="S104" s="34">
        <v>21.8</v>
      </c>
      <c r="T104" s="34">
        <v>57.6</v>
      </c>
      <c r="U104" s="34">
        <v>20.6</v>
      </c>
      <c r="V104" s="34">
        <v>0.84299999999999997</v>
      </c>
      <c r="W104" s="34">
        <v>15.15030003</v>
      </c>
      <c r="X104" s="34">
        <v>11.88941002</v>
      </c>
      <c r="Y104" s="34">
        <v>27446.69903</v>
      </c>
      <c r="Z104" s="34">
        <v>0.98399999999999999</v>
      </c>
      <c r="AA104" s="34">
        <v>0.26200000000000001</v>
      </c>
      <c r="AB104" s="34">
        <v>13.927705789999999</v>
      </c>
      <c r="AC104" s="34">
        <v>25.509</v>
      </c>
      <c r="AD104" s="34">
        <v>4.8067244120000003</v>
      </c>
      <c r="AE104" s="34">
        <v>13.476699999999999</v>
      </c>
    </row>
    <row r="105" spans="1:31" x14ac:dyDescent="0.3">
      <c r="A105" s="3" t="s">
        <v>145</v>
      </c>
      <c r="B105" s="27">
        <v>157906</v>
      </c>
      <c r="C105" s="29">
        <v>9778371</v>
      </c>
      <c r="D105" s="29">
        <v>13920</v>
      </c>
      <c r="E105" s="30">
        <v>57387.199999999997</v>
      </c>
      <c r="F105" s="30">
        <v>67004.7</v>
      </c>
      <c r="G105" s="30">
        <v>6.5</v>
      </c>
      <c r="H105" s="30">
        <v>12.5</v>
      </c>
      <c r="I105" s="33">
        <v>4.4000000000000004</v>
      </c>
      <c r="J105" s="33">
        <v>76.203999999999994</v>
      </c>
      <c r="K105" s="33">
        <v>1.55</v>
      </c>
      <c r="L105" s="29">
        <v>536182</v>
      </c>
      <c r="M105" s="32">
        <v>28.5</v>
      </c>
      <c r="N105" s="32">
        <v>107.1</v>
      </c>
      <c r="O105" s="32">
        <v>12690</v>
      </c>
      <c r="P105" s="34">
        <v>108171.1</v>
      </c>
      <c r="Q105" s="34">
        <v>113953.60000000001</v>
      </c>
      <c r="R105" s="34">
        <v>15176493</v>
      </c>
      <c r="S105" s="34">
        <v>20.2</v>
      </c>
      <c r="T105" s="34">
        <v>58.1</v>
      </c>
      <c r="U105" s="34">
        <v>21.7</v>
      </c>
      <c r="V105" s="34">
        <v>0.85</v>
      </c>
      <c r="W105" s="34">
        <v>15.16954994</v>
      </c>
      <c r="X105" s="34">
        <v>12.069499970000001</v>
      </c>
      <c r="Y105" s="34">
        <v>29908.592140000001</v>
      </c>
      <c r="Z105" s="34">
        <v>0.98399999999999999</v>
      </c>
      <c r="AA105" s="34">
        <v>0.24299999999999999</v>
      </c>
      <c r="AB105" s="34">
        <v>14.58145837</v>
      </c>
      <c r="AC105" s="34">
        <v>22.762</v>
      </c>
      <c r="AD105" s="34">
        <v>5.066753898</v>
      </c>
      <c r="AE105" s="34">
        <v>16.521100000000001</v>
      </c>
    </row>
    <row r="106" spans="1:31" x14ac:dyDescent="0.3">
      <c r="A106" s="3" t="s">
        <v>162</v>
      </c>
      <c r="B106" s="27">
        <v>2311140</v>
      </c>
      <c r="C106" s="29">
        <v>66273576</v>
      </c>
      <c r="D106" s="29">
        <v>36440</v>
      </c>
      <c r="E106" s="30">
        <v>1184844.8</v>
      </c>
      <c r="F106" s="30">
        <v>1566265.8</v>
      </c>
      <c r="G106" s="30">
        <v>2.8</v>
      </c>
      <c r="H106" s="30">
        <v>10.7</v>
      </c>
      <c r="I106" s="33">
        <v>4.4000000000000004</v>
      </c>
      <c r="J106" s="33">
        <v>81.125</v>
      </c>
      <c r="K106" s="33">
        <v>1.68</v>
      </c>
      <c r="L106" s="29">
        <v>9512464</v>
      </c>
      <c r="M106" s="32">
        <v>28.6</v>
      </c>
      <c r="N106" s="32">
        <v>273.8</v>
      </c>
      <c r="O106" s="32">
        <v>32640</v>
      </c>
      <c r="P106" s="34">
        <v>776625.1</v>
      </c>
      <c r="Q106" s="34">
        <v>747816.8</v>
      </c>
      <c r="R106" s="34">
        <v>272190155</v>
      </c>
      <c r="S106" s="34">
        <v>19.7</v>
      </c>
      <c r="T106" s="34">
        <v>41</v>
      </c>
      <c r="U106" s="34">
        <v>39.299999999999997</v>
      </c>
      <c r="V106" s="34">
        <v>0.92800000000000005</v>
      </c>
      <c r="W106" s="34">
        <v>17.150520319999998</v>
      </c>
      <c r="X106" s="34">
        <v>13.24292692</v>
      </c>
      <c r="Y106" s="34">
        <v>45972.205979999999</v>
      </c>
      <c r="Z106" s="34">
        <v>0.98399999999999999</v>
      </c>
      <c r="AA106" s="34">
        <v>0.112</v>
      </c>
      <c r="AB106" s="34">
        <v>9.2092136419999999</v>
      </c>
      <c r="AC106" s="34">
        <v>12.337999999999999</v>
      </c>
      <c r="AD106" s="34">
        <v>5.7159821170000003</v>
      </c>
      <c r="AE106" s="34">
        <v>16.878</v>
      </c>
    </row>
    <row r="107" spans="1:31" x14ac:dyDescent="0.3">
      <c r="A107" s="3" t="s">
        <v>211</v>
      </c>
      <c r="B107" s="27">
        <v>176276</v>
      </c>
      <c r="C107" s="29">
        <v>5367580</v>
      </c>
      <c r="D107" s="29">
        <v>60020</v>
      </c>
      <c r="E107" s="30">
        <v>162035</v>
      </c>
      <c r="F107" s="30">
        <v>140257.60000000001</v>
      </c>
      <c r="G107" s="30">
        <v>1.7</v>
      </c>
      <c r="H107" s="30">
        <v>9.9</v>
      </c>
      <c r="I107" s="33">
        <v>3.3</v>
      </c>
      <c r="J107" s="33">
        <v>83.194999999999993</v>
      </c>
      <c r="K107" s="33">
        <v>1.48</v>
      </c>
      <c r="L107" s="29">
        <v>867778</v>
      </c>
      <c r="M107" s="32">
        <v>26.9</v>
      </c>
      <c r="N107" s="32">
        <v>17.3</v>
      </c>
      <c r="O107" s="32">
        <v>68850</v>
      </c>
      <c r="P107" s="34">
        <v>106995.6</v>
      </c>
      <c r="Q107" s="34">
        <v>103982.6</v>
      </c>
      <c r="R107" s="34">
        <v>13216883</v>
      </c>
      <c r="S107" s="34">
        <v>23.5</v>
      </c>
      <c r="T107" s="34">
        <v>37.700000000000003</v>
      </c>
      <c r="U107" s="34">
        <v>38.799999999999997</v>
      </c>
      <c r="V107" s="34">
        <v>0.96299999999999997</v>
      </c>
      <c r="W107" s="34">
        <v>18.311019900000002</v>
      </c>
      <c r="X107" s="34">
        <v>13.062342790000001</v>
      </c>
      <c r="Y107" s="34">
        <v>66258.166129999998</v>
      </c>
      <c r="Z107" s="34">
        <v>0.98399999999999999</v>
      </c>
      <c r="AA107" s="34">
        <v>1.4E-2</v>
      </c>
      <c r="AB107" s="34">
        <v>1.663741403</v>
      </c>
      <c r="AC107" s="34">
        <v>2.3130000000000002</v>
      </c>
      <c r="AD107" s="34">
        <v>7.6532030049999999</v>
      </c>
      <c r="AE107" s="34">
        <v>31.8888</v>
      </c>
    </row>
    <row r="108" spans="1:31" x14ac:dyDescent="0.3">
      <c r="A108" s="3" t="s">
        <v>29</v>
      </c>
      <c r="B108" s="27">
        <v>77171</v>
      </c>
      <c r="C108" s="29">
        <v>9877365</v>
      </c>
      <c r="D108" s="29">
        <v>10770</v>
      </c>
      <c r="E108" s="30">
        <v>45328.6</v>
      </c>
      <c r="F108" s="30">
        <v>53235.7</v>
      </c>
      <c r="G108" s="30">
        <v>6.3</v>
      </c>
      <c r="H108" s="30">
        <v>11.4</v>
      </c>
      <c r="I108" s="33">
        <v>3.9</v>
      </c>
      <c r="J108" s="33">
        <v>75.846999999999994</v>
      </c>
      <c r="K108" s="33">
        <v>1.44</v>
      </c>
      <c r="L108" s="29">
        <v>447029</v>
      </c>
      <c r="M108" s="32">
        <v>25.8</v>
      </c>
      <c r="N108" s="32">
        <v>108.1</v>
      </c>
      <c r="O108" s="32">
        <v>10790</v>
      </c>
      <c r="P108" s="34">
        <v>86361.8</v>
      </c>
      <c r="Q108" s="34">
        <v>92580.7</v>
      </c>
      <c r="R108" s="34">
        <v>9054848</v>
      </c>
      <c r="S108" s="34">
        <v>22</v>
      </c>
      <c r="T108" s="34">
        <v>57.7</v>
      </c>
      <c r="U108" s="34">
        <v>20.2</v>
      </c>
      <c r="V108" s="34">
        <v>0.84</v>
      </c>
      <c r="W108" s="34">
        <v>15.586070060000001</v>
      </c>
      <c r="X108" s="34">
        <v>11.77344036</v>
      </c>
      <c r="Y108" s="34">
        <v>25283.391619999999</v>
      </c>
      <c r="Z108" s="34">
        <v>0.98499999999999999</v>
      </c>
      <c r="AA108" s="34">
        <v>0.26300000000000001</v>
      </c>
      <c r="AB108" s="34">
        <v>14.656248059999999</v>
      </c>
      <c r="AC108" s="34">
        <v>24.276</v>
      </c>
      <c r="AD108" s="34">
        <v>4.4378029330000004</v>
      </c>
      <c r="AE108" s="34">
        <v>14.745799999999999</v>
      </c>
    </row>
    <row r="109" spans="1:31" x14ac:dyDescent="0.3">
      <c r="A109" s="3" t="s">
        <v>39</v>
      </c>
      <c r="B109" s="27">
        <v>178503</v>
      </c>
      <c r="C109" s="29">
        <v>10427301</v>
      </c>
      <c r="D109" s="29">
        <v>16640</v>
      </c>
      <c r="E109" s="30">
        <v>76351.100000000006</v>
      </c>
      <c r="F109" s="30">
        <v>114449.60000000001</v>
      </c>
      <c r="G109" s="30">
        <v>6.1</v>
      </c>
      <c r="H109" s="30">
        <v>17.399999999999999</v>
      </c>
      <c r="I109" s="33">
        <v>3</v>
      </c>
      <c r="J109" s="33">
        <v>81.215999999999994</v>
      </c>
      <c r="K109" s="33">
        <v>1.23</v>
      </c>
      <c r="L109" s="29">
        <v>859065</v>
      </c>
      <c r="M109" s="32">
        <v>30.3</v>
      </c>
      <c r="N109" s="32">
        <v>112.8</v>
      </c>
      <c r="O109" s="32">
        <v>16260</v>
      </c>
      <c r="P109" s="34">
        <v>69336.3</v>
      </c>
      <c r="Q109" s="34">
        <v>69595.199999999997</v>
      </c>
      <c r="R109" s="34">
        <v>32560621</v>
      </c>
      <c r="S109" s="34">
        <v>56.3</v>
      </c>
      <c r="T109" s="34">
        <v>24</v>
      </c>
      <c r="U109" s="34">
        <v>19.7</v>
      </c>
      <c r="V109" s="34">
        <v>0.84699999999999998</v>
      </c>
      <c r="W109" s="34">
        <v>16.339354100000001</v>
      </c>
      <c r="X109" s="34">
        <v>8.8709402080000004</v>
      </c>
      <c r="Y109" s="34">
        <v>29831.456030000001</v>
      </c>
      <c r="Z109" s="34">
        <v>0.98499999999999999</v>
      </c>
      <c r="AA109" s="34">
        <v>9.0999999999999998E-2</v>
      </c>
      <c r="AB109" s="34">
        <v>8.8121794550000008</v>
      </c>
      <c r="AC109" s="34">
        <v>9.0630000000000006</v>
      </c>
      <c r="AD109" s="34">
        <v>4.6006234209999999</v>
      </c>
      <c r="AE109" s="34">
        <v>11.3604</v>
      </c>
    </row>
    <row r="110" spans="1:31" x14ac:dyDescent="0.3">
      <c r="A110" s="3" t="s">
        <v>79</v>
      </c>
      <c r="B110" s="27">
        <v>50769</v>
      </c>
      <c r="C110" s="29">
        <v>4190669</v>
      </c>
      <c r="D110" s="29">
        <v>11370</v>
      </c>
      <c r="E110" s="30">
        <v>21428</v>
      </c>
      <c r="F110" s="30">
        <v>27136.3</v>
      </c>
      <c r="G110" s="30">
        <v>7.4</v>
      </c>
      <c r="H110" s="30">
        <v>2.8</v>
      </c>
      <c r="I110" s="33">
        <v>4.9000000000000004</v>
      </c>
      <c r="J110" s="33">
        <v>78.230999999999995</v>
      </c>
      <c r="K110" s="33">
        <v>1.42</v>
      </c>
      <c r="L110" s="29">
        <v>547929</v>
      </c>
      <c r="M110" s="32">
        <v>29</v>
      </c>
      <c r="N110" s="32">
        <v>74.599999999999994</v>
      </c>
      <c r="O110" s="32">
        <v>11290</v>
      </c>
      <c r="P110" s="34">
        <v>21654.400000000001</v>
      </c>
      <c r="Q110" s="34">
        <v>22178.9</v>
      </c>
      <c r="R110" s="34">
        <v>7475463</v>
      </c>
      <c r="S110" s="34">
        <v>20.6</v>
      </c>
      <c r="T110" s="34">
        <v>59.4</v>
      </c>
      <c r="U110" s="34">
        <v>20</v>
      </c>
      <c r="V110" s="34">
        <v>0.85</v>
      </c>
      <c r="W110" s="34">
        <v>15.311900140000001</v>
      </c>
      <c r="X110" s="34">
        <v>11.787333309999999</v>
      </c>
      <c r="Y110" s="34">
        <v>25543.401689999999</v>
      </c>
      <c r="Z110" s="34">
        <v>0.98499999999999999</v>
      </c>
      <c r="AA110" s="34">
        <v>0.155</v>
      </c>
      <c r="AB110" s="34">
        <v>5.3430122200000003</v>
      </c>
      <c r="AC110" s="34">
        <v>9.8849999999999998</v>
      </c>
      <c r="AD110" s="34">
        <v>4.287421299</v>
      </c>
      <c r="AE110" s="34">
        <v>14.574999999999999</v>
      </c>
    </row>
    <row r="111" spans="1:31" x14ac:dyDescent="0.3">
      <c r="A111" s="3" t="s">
        <v>84</v>
      </c>
      <c r="B111" s="27">
        <v>2110748</v>
      </c>
      <c r="C111" s="29">
        <v>66638391</v>
      </c>
      <c r="D111" s="29">
        <v>33430</v>
      </c>
      <c r="E111" s="30">
        <v>1163287</v>
      </c>
      <c r="F111" s="30">
        <v>1212312</v>
      </c>
      <c r="G111" s="30">
        <v>5.2</v>
      </c>
      <c r="H111" s="30">
        <v>8.8000000000000007</v>
      </c>
      <c r="I111" s="33">
        <v>3.5</v>
      </c>
      <c r="J111" s="33">
        <v>82.436999999999998</v>
      </c>
      <c r="K111" s="33">
        <v>1.92</v>
      </c>
      <c r="L111" s="29">
        <v>8028227</v>
      </c>
      <c r="M111" s="32">
        <v>30.1</v>
      </c>
      <c r="N111" s="32">
        <v>105.3</v>
      </c>
      <c r="O111" s="32">
        <v>31770</v>
      </c>
      <c r="P111" s="34">
        <v>689287</v>
      </c>
      <c r="Q111" s="34">
        <v>675769</v>
      </c>
      <c r="R111" s="34">
        <v>145280602</v>
      </c>
      <c r="S111" s="34">
        <v>25.5</v>
      </c>
      <c r="T111" s="34">
        <v>43.6</v>
      </c>
      <c r="U111" s="34">
        <v>30.9</v>
      </c>
      <c r="V111" s="34">
        <v>0.89600000000000002</v>
      </c>
      <c r="W111" s="34">
        <v>15.622830390000001</v>
      </c>
      <c r="X111" s="34">
        <v>11.350859639999999</v>
      </c>
      <c r="Y111" s="34">
        <v>44633.572169999999</v>
      </c>
      <c r="Z111" s="34">
        <v>0.98499999999999999</v>
      </c>
      <c r="AA111" s="34">
        <v>9.1999999999999998E-2</v>
      </c>
      <c r="AB111" s="34">
        <v>7.639073486</v>
      </c>
      <c r="AC111" s="34">
        <v>7.5819999999999999</v>
      </c>
      <c r="AD111" s="34">
        <v>5.2197008069999997</v>
      </c>
      <c r="AE111" s="34">
        <v>17.0261</v>
      </c>
    </row>
    <row r="112" spans="1:31" x14ac:dyDescent="0.3">
      <c r="A112" s="3" t="s">
        <v>108</v>
      </c>
      <c r="B112" s="27">
        <v>60041</v>
      </c>
      <c r="C112" s="29">
        <v>4154213</v>
      </c>
      <c r="D112" s="29">
        <v>12130</v>
      </c>
      <c r="E112" s="30">
        <v>22627.5</v>
      </c>
      <c r="F112" s="30">
        <v>28503.9</v>
      </c>
      <c r="G112" s="30">
        <v>8</v>
      </c>
      <c r="H112" s="30">
        <v>3.1</v>
      </c>
      <c r="I112" s="33">
        <v>4.9000000000000004</v>
      </c>
      <c r="J112" s="33">
        <v>78.082999999999998</v>
      </c>
      <c r="K112" s="33">
        <v>1.42</v>
      </c>
      <c r="L112" s="29">
        <v>539588</v>
      </c>
      <c r="M112" s="32">
        <v>29.8</v>
      </c>
      <c r="N112" s="32">
        <v>73.900000000000006</v>
      </c>
      <c r="O112" s="32">
        <v>11800</v>
      </c>
      <c r="P112" s="34">
        <v>24254.2</v>
      </c>
      <c r="Q112" s="34">
        <v>24558.1</v>
      </c>
      <c r="R112" s="34">
        <v>8843053</v>
      </c>
      <c r="S112" s="34">
        <v>19.899999999999999</v>
      </c>
      <c r="T112" s="34">
        <v>59.6</v>
      </c>
      <c r="U112" s="34">
        <v>20.6</v>
      </c>
      <c r="V112" s="34">
        <v>0.85499999999999998</v>
      </c>
      <c r="W112" s="34">
        <v>15.404640199999999</v>
      </c>
      <c r="X112" s="34">
        <v>11.920408950000001</v>
      </c>
      <c r="Y112" s="34">
        <v>27146.099539999999</v>
      </c>
      <c r="Z112" s="34">
        <v>0.98499999999999999</v>
      </c>
      <c r="AA112" s="34">
        <v>0.128</v>
      </c>
      <c r="AB112" s="34">
        <v>5.3567116400000003</v>
      </c>
      <c r="AC112" s="34">
        <v>9.5570000000000004</v>
      </c>
      <c r="AD112" s="34">
        <v>4.4708759779999996</v>
      </c>
      <c r="AE112" s="34">
        <v>13.294600000000001</v>
      </c>
    </row>
    <row r="113" spans="1:31" x14ac:dyDescent="0.3">
      <c r="A113" s="3" t="s">
        <v>124</v>
      </c>
      <c r="B113" s="27">
        <v>147929</v>
      </c>
      <c r="C113" s="29">
        <v>5258317</v>
      </c>
      <c r="D113" s="29">
        <v>67520</v>
      </c>
      <c r="E113" s="30">
        <v>167229.20000000001</v>
      </c>
      <c r="F113" s="30">
        <v>157784.6</v>
      </c>
      <c r="G113" s="30">
        <v>2</v>
      </c>
      <c r="H113" s="30">
        <v>10.4</v>
      </c>
      <c r="I113" s="33">
        <v>4.4000000000000004</v>
      </c>
      <c r="J113" s="33">
        <v>82.623999999999995</v>
      </c>
      <c r="K113" s="33">
        <v>1.62</v>
      </c>
      <c r="L113" s="29">
        <v>799797</v>
      </c>
      <c r="M113" s="32">
        <v>25.4</v>
      </c>
      <c r="N113" s="32">
        <v>17.100000000000001</v>
      </c>
      <c r="O113" s="32">
        <v>69720</v>
      </c>
      <c r="P113" s="34">
        <v>115353.8</v>
      </c>
      <c r="Q113" s="34">
        <v>130872.8</v>
      </c>
      <c r="R113" s="34">
        <v>38739778</v>
      </c>
      <c r="S113" s="34">
        <v>24.9</v>
      </c>
      <c r="T113" s="34">
        <v>38.299999999999997</v>
      </c>
      <c r="U113" s="34">
        <v>36.799999999999997</v>
      </c>
      <c r="V113" s="34">
        <v>0.95899999999999996</v>
      </c>
      <c r="W113" s="34">
        <v>18.059719090000002</v>
      </c>
      <c r="X113" s="34">
        <v>12.947159770000001</v>
      </c>
      <c r="Y113" s="34">
        <v>66942.346590000001</v>
      </c>
      <c r="Z113" s="34">
        <v>0.98499999999999999</v>
      </c>
      <c r="AA113" s="34">
        <v>2.3E-2</v>
      </c>
      <c r="AB113" s="34">
        <v>2.1529325209999999</v>
      </c>
      <c r="AC113" s="34">
        <v>3.08</v>
      </c>
      <c r="AD113" s="34">
        <v>8.3618954209999998</v>
      </c>
      <c r="AE113" s="34">
        <v>32.081000000000003</v>
      </c>
    </row>
    <row r="114" spans="1:31" x14ac:dyDescent="0.3">
      <c r="A114" s="3" t="s">
        <v>138</v>
      </c>
      <c r="B114" s="27">
        <v>249915</v>
      </c>
      <c r="C114" s="29">
        <v>10610055</v>
      </c>
      <c r="D114" s="29">
        <v>19850</v>
      </c>
      <c r="E114" s="30">
        <v>93545.600000000006</v>
      </c>
      <c r="F114" s="30">
        <v>100125</v>
      </c>
      <c r="G114" s="30">
        <v>6.2</v>
      </c>
      <c r="H114" s="30">
        <v>6.2</v>
      </c>
      <c r="I114" s="33">
        <v>4.4000000000000004</v>
      </c>
      <c r="J114" s="33">
        <v>79.004000000000005</v>
      </c>
      <c r="K114" s="33">
        <v>1.71</v>
      </c>
      <c r="L114" s="29">
        <v>467580</v>
      </c>
      <c r="M114" s="32">
        <v>29.6</v>
      </c>
      <c r="N114" s="32">
        <v>137.69999999999999</v>
      </c>
      <c r="O114" s="32">
        <v>17990</v>
      </c>
      <c r="P114" s="34">
        <v>149799.5</v>
      </c>
      <c r="Q114" s="34">
        <v>162328.29999999999</v>
      </c>
      <c r="R114" s="34">
        <v>17838221</v>
      </c>
      <c r="S114" s="34">
        <v>12.1</v>
      </c>
      <c r="T114" s="34">
        <v>66.2</v>
      </c>
      <c r="U114" s="34">
        <v>21.7</v>
      </c>
      <c r="V114" s="34">
        <v>0.89300000000000002</v>
      </c>
      <c r="W114" s="34">
        <v>16.12398911</v>
      </c>
      <c r="X114" s="34">
        <v>12.8280654</v>
      </c>
      <c r="Y114" s="34">
        <v>37752.161639999998</v>
      </c>
      <c r="Z114" s="34">
        <v>0.98499999999999999</v>
      </c>
      <c r="AA114" s="34">
        <v>0.129</v>
      </c>
      <c r="AB114" s="34">
        <v>3.1841486240000001</v>
      </c>
      <c r="AC114" s="34">
        <v>10.59</v>
      </c>
      <c r="AD114" s="34">
        <v>10.09610908</v>
      </c>
      <c r="AE114" s="34">
        <v>18.393799999999999</v>
      </c>
    </row>
    <row r="115" spans="1:31" x14ac:dyDescent="0.3">
      <c r="A115" s="3" t="s">
        <v>167</v>
      </c>
      <c r="B115" s="27">
        <v>202971</v>
      </c>
      <c r="C115" s="29">
        <v>10649800</v>
      </c>
      <c r="D115" s="29">
        <v>21150</v>
      </c>
      <c r="E115" s="30">
        <v>100725.1</v>
      </c>
      <c r="F115" s="30">
        <v>105623</v>
      </c>
      <c r="G115" s="30">
        <v>5.8</v>
      </c>
      <c r="H115" s="30">
        <v>6.7</v>
      </c>
      <c r="I115" s="33">
        <v>4.4000000000000004</v>
      </c>
      <c r="J115" s="33">
        <v>79.242999999999995</v>
      </c>
      <c r="K115" s="33">
        <v>1.71</v>
      </c>
      <c r="L115" s="29">
        <v>507051</v>
      </c>
      <c r="M115" s="32">
        <v>30.4</v>
      </c>
      <c r="N115" s="32">
        <v>138.19999999999999</v>
      </c>
      <c r="O115" s="32">
        <v>18460</v>
      </c>
      <c r="P115" s="34">
        <v>153171.79999999999</v>
      </c>
      <c r="Q115" s="34">
        <v>166682.70000000001</v>
      </c>
      <c r="R115" s="34">
        <v>18767088</v>
      </c>
      <c r="S115" s="34">
        <v>12.3</v>
      </c>
      <c r="T115" s="34">
        <v>66.099999999999994</v>
      </c>
      <c r="U115" s="34">
        <v>21.6</v>
      </c>
      <c r="V115" s="34">
        <v>0.89600000000000002</v>
      </c>
      <c r="W115" s="34">
        <v>16.10343933</v>
      </c>
      <c r="X115" s="34">
        <v>12.86931038</v>
      </c>
      <c r="Y115" s="34">
        <v>38512.360200000003</v>
      </c>
      <c r="Z115" s="34">
        <v>0.98499999999999999</v>
      </c>
      <c r="AA115" s="34">
        <v>0.124</v>
      </c>
      <c r="AB115" s="34">
        <v>3.335242021</v>
      </c>
      <c r="AC115" s="34">
        <v>9.8510000000000009</v>
      </c>
      <c r="AD115" s="34">
        <v>9.5884916879999995</v>
      </c>
      <c r="AE115" s="34">
        <v>17.014399999999998</v>
      </c>
    </row>
    <row r="116" spans="1:31" x14ac:dyDescent="0.3">
      <c r="A116" s="3" t="s">
        <v>182</v>
      </c>
      <c r="B116" s="27">
        <v>141405</v>
      </c>
      <c r="C116" s="29">
        <v>5328212</v>
      </c>
      <c r="D116" s="29">
        <v>68270</v>
      </c>
      <c r="E116" s="30">
        <v>175944.5</v>
      </c>
      <c r="F116" s="30">
        <v>160288.6</v>
      </c>
      <c r="G116" s="30">
        <v>2</v>
      </c>
      <c r="H116" s="30">
        <v>9.9</v>
      </c>
      <c r="I116" s="33">
        <v>4.4000000000000004</v>
      </c>
      <c r="J116" s="33">
        <v>82.954999999999998</v>
      </c>
      <c r="K116" s="33">
        <v>1.53</v>
      </c>
      <c r="L116" s="29">
        <v>841580</v>
      </c>
      <c r="M116" s="32">
        <v>26.4</v>
      </c>
      <c r="N116" s="32">
        <v>17.3</v>
      </c>
      <c r="O116" s="32">
        <v>70150</v>
      </c>
      <c r="P116" s="34">
        <v>125075.1</v>
      </c>
      <c r="Q116" s="34">
        <v>133787.20000000001</v>
      </c>
      <c r="R116" s="34">
        <v>40348437</v>
      </c>
      <c r="S116" s="34">
        <v>23.7</v>
      </c>
      <c r="T116" s="34">
        <v>38.6</v>
      </c>
      <c r="U116" s="34">
        <v>37.700000000000003</v>
      </c>
      <c r="V116" s="34">
        <v>0.96099999999999997</v>
      </c>
      <c r="W116" s="34">
        <v>18.23535919</v>
      </c>
      <c r="X116" s="34">
        <v>13.00362968</v>
      </c>
      <c r="Y116" s="34">
        <v>66977.374100000001</v>
      </c>
      <c r="Z116" s="34">
        <v>0.98499999999999999</v>
      </c>
      <c r="AA116" s="34">
        <v>1.6E-2</v>
      </c>
      <c r="AB116" s="34">
        <v>1.942273425</v>
      </c>
      <c r="AC116" s="34">
        <v>2.3969999999999998</v>
      </c>
      <c r="AD116" s="34">
        <v>7.9849985390000002</v>
      </c>
      <c r="AE116" s="34">
        <v>31.816500000000001</v>
      </c>
    </row>
    <row r="117" spans="1:31" x14ac:dyDescent="0.3">
      <c r="A117" s="3" t="s">
        <v>239</v>
      </c>
      <c r="B117" s="27">
        <v>210009</v>
      </c>
      <c r="C117" s="29">
        <v>5391369</v>
      </c>
      <c r="D117" s="29">
        <v>78670</v>
      </c>
      <c r="E117" s="30">
        <v>181438.3</v>
      </c>
      <c r="F117" s="30">
        <v>160021.6</v>
      </c>
      <c r="G117" s="30">
        <v>1.5</v>
      </c>
      <c r="H117" s="30">
        <v>12.3</v>
      </c>
      <c r="I117" s="33">
        <v>3.3</v>
      </c>
      <c r="J117" s="33">
        <v>83.233999999999995</v>
      </c>
      <c r="K117" s="33">
        <v>1.55</v>
      </c>
      <c r="L117" s="29">
        <v>878153</v>
      </c>
      <c r="M117" s="32">
        <v>26.9</v>
      </c>
      <c r="N117" s="32">
        <v>17.399999999999999</v>
      </c>
      <c r="O117" s="32">
        <v>71160</v>
      </c>
      <c r="P117" s="34">
        <v>119917.8</v>
      </c>
      <c r="Q117" s="34">
        <v>183096</v>
      </c>
      <c r="R117" s="34">
        <v>14136316</v>
      </c>
      <c r="S117" s="34">
        <v>24.7</v>
      </c>
      <c r="T117" s="34">
        <v>34.700000000000003</v>
      </c>
      <c r="U117" s="34">
        <v>40.6</v>
      </c>
      <c r="V117" s="34">
        <v>0.96399999999999997</v>
      </c>
      <c r="W117" s="34">
        <v>18.638460160000001</v>
      </c>
      <c r="X117" s="34">
        <v>13.062342790000001</v>
      </c>
      <c r="Y117" s="34">
        <v>67596.613859999998</v>
      </c>
      <c r="Z117" s="34">
        <v>0.98499999999999999</v>
      </c>
      <c r="AA117" s="34">
        <v>1.6E-2</v>
      </c>
      <c r="AB117" s="34">
        <v>1.663741403</v>
      </c>
      <c r="AC117" s="34">
        <v>2.3359999999999999</v>
      </c>
      <c r="AD117" s="34">
        <v>7.5735408020000001</v>
      </c>
      <c r="AE117" s="34">
        <v>31.1751</v>
      </c>
    </row>
    <row r="118" spans="1:31" x14ac:dyDescent="0.3">
      <c r="A118" s="3" t="s">
        <v>22</v>
      </c>
      <c r="B118" s="27">
        <v>230857</v>
      </c>
      <c r="C118" s="29">
        <v>10512419</v>
      </c>
      <c r="D118" s="29">
        <v>15000</v>
      </c>
      <c r="E118" s="30">
        <v>65358.7</v>
      </c>
      <c r="F118" s="30">
        <v>76265.600000000006</v>
      </c>
      <c r="G118" s="30">
        <v>6.5</v>
      </c>
      <c r="H118" s="30">
        <v>5.5</v>
      </c>
      <c r="I118" s="33">
        <v>4.3</v>
      </c>
      <c r="J118" s="33">
        <v>78.754999999999995</v>
      </c>
      <c r="K118" s="33">
        <v>1.53</v>
      </c>
      <c r="L118" s="29">
        <v>396156</v>
      </c>
      <c r="M118" s="32">
        <v>25.7</v>
      </c>
      <c r="N118" s="32">
        <v>136.30000000000001</v>
      </c>
      <c r="O118" s="32">
        <v>15480</v>
      </c>
      <c r="P118" s="34">
        <v>119345.5</v>
      </c>
      <c r="Q118" s="34">
        <v>129341.3</v>
      </c>
      <c r="R118" s="34">
        <v>12079873</v>
      </c>
      <c r="S118" s="34">
        <v>12.4</v>
      </c>
      <c r="T118" s="34">
        <v>68.5</v>
      </c>
      <c r="U118" s="34">
        <v>19.100000000000001</v>
      </c>
      <c r="V118" s="34">
        <v>0.88900000000000001</v>
      </c>
      <c r="W118" s="34">
        <v>16.961360930000001</v>
      </c>
      <c r="X118" s="34">
        <v>12.63813972</v>
      </c>
      <c r="Y118" s="34">
        <v>32021.627929999999</v>
      </c>
      <c r="Z118" s="34">
        <v>0.98599999999999999</v>
      </c>
      <c r="AA118" s="34">
        <v>0.14599999999999999</v>
      </c>
      <c r="AB118" s="34">
        <v>3.0767755669999999</v>
      </c>
      <c r="AC118" s="34">
        <v>12.122999999999999</v>
      </c>
      <c r="AD118" s="34">
        <v>9.9129405580000007</v>
      </c>
      <c r="AE118" s="34">
        <v>16.556799999999999</v>
      </c>
    </row>
    <row r="119" spans="1:31" x14ac:dyDescent="0.3">
      <c r="A119" s="3" t="s">
        <v>26</v>
      </c>
      <c r="B119" s="27">
        <v>1917226</v>
      </c>
      <c r="C119" s="29">
        <v>66165980</v>
      </c>
      <c r="D119" s="29">
        <v>32420</v>
      </c>
      <c r="E119" s="30">
        <v>1126701</v>
      </c>
      <c r="F119" s="30">
        <v>1167531</v>
      </c>
      <c r="G119" s="30">
        <v>5.0999999999999996</v>
      </c>
      <c r="H119" s="30">
        <v>8.8000000000000007</v>
      </c>
      <c r="I119" s="33">
        <v>3.6</v>
      </c>
      <c r="J119" s="33">
        <v>82.475999999999999</v>
      </c>
      <c r="K119" s="33">
        <v>2</v>
      </c>
      <c r="L119" s="29">
        <v>7746520</v>
      </c>
      <c r="M119" s="32">
        <v>28.3</v>
      </c>
      <c r="N119" s="32">
        <v>104.6</v>
      </c>
      <c r="O119" s="32">
        <v>31320</v>
      </c>
      <c r="P119" s="34">
        <v>662388</v>
      </c>
      <c r="Q119" s="34">
        <v>637764</v>
      </c>
      <c r="R119" s="34">
        <v>136360671</v>
      </c>
      <c r="S119" s="34">
        <v>26.5</v>
      </c>
      <c r="T119" s="34">
        <v>43.7</v>
      </c>
      <c r="U119" s="34">
        <v>29.8</v>
      </c>
      <c r="V119" s="34">
        <v>0.89200000000000002</v>
      </c>
      <c r="W119" s="34">
        <v>15.442290310000001</v>
      </c>
      <c r="X119" s="34">
        <v>11.22550011</v>
      </c>
      <c r="Y119" s="34">
        <v>43945.597009999998</v>
      </c>
      <c r="Z119" s="34">
        <v>0.98599999999999999</v>
      </c>
      <c r="AA119" s="34">
        <v>0.10299999999999999</v>
      </c>
      <c r="AB119" s="34">
        <v>8.6796551780000009</v>
      </c>
      <c r="AC119" s="34">
        <v>9.0739999999999998</v>
      </c>
      <c r="AD119" s="34">
        <v>5.1425894029999997</v>
      </c>
      <c r="AE119" s="34">
        <v>17.898199999999999</v>
      </c>
    </row>
    <row r="120" spans="1:31" x14ac:dyDescent="0.3">
      <c r="A120" s="3" t="s">
        <v>55</v>
      </c>
      <c r="B120" s="27">
        <v>2015177</v>
      </c>
      <c r="C120" s="29">
        <v>66458153</v>
      </c>
      <c r="D120" s="29">
        <v>33020</v>
      </c>
      <c r="E120" s="30">
        <v>1141421</v>
      </c>
      <c r="F120" s="30">
        <v>1188170</v>
      </c>
      <c r="G120" s="30">
        <v>5.2</v>
      </c>
      <c r="H120" s="30">
        <v>9.1999999999999993</v>
      </c>
      <c r="I120" s="33">
        <v>3.6</v>
      </c>
      <c r="J120" s="33">
        <v>82.186000000000007</v>
      </c>
      <c r="K120" s="33">
        <v>1.96</v>
      </c>
      <c r="L120" s="29">
        <v>7915838</v>
      </c>
      <c r="M120" s="32">
        <v>29.2</v>
      </c>
      <c r="N120" s="32">
        <v>105.1</v>
      </c>
      <c r="O120" s="32">
        <v>31540</v>
      </c>
      <c r="P120" s="34">
        <v>685011</v>
      </c>
      <c r="Q120" s="34">
        <v>672558</v>
      </c>
      <c r="R120" s="34">
        <v>140867569</v>
      </c>
      <c r="S120" s="34">
        <v>25.9</v>
      </c>
      <c r="T120" s="34">
        <v>43.6</v>
      </c>
      <c r="U120" s="34">
        <v>30.5</v>
      </c>
      <c r="V120" s="34">
        <v>0.89300000000000002</v>
      </c>
      <c r="W120" s="34">
        <v>15.51356983</v>
      </c>
      <c r="X120" s="34">
        <v>11.33419037</v>
      </c>
      <c r="Y120" s="34">
        <v>44282.823420000001</v>
      </c>
      <c r="Z120" s="34">
        <v>0.98599999999999999</v>
      </c>
      <c r="AA120" s="34">
        <v>9.7000000000000003E-2</v>
      </c>
      <c r="AB120" s="34">
        <v>7.5950395860000004</v>
      </c>
      <c r="AC120" s="34">
        <v>8.2729999999999997</v>
      </c>
      <c r="AD120" s="34">
        <v>5.1937878040000003</v>
      </c>
      <c r="AE120" s="34">
        <v>16.829699999999999</v>
      </c>
    </row>
    <row r="121" spans="1:31" x14ac:dyDescent="0.3">
      <c r="A121" s="3" t="s">
        <v>95</v>
      </c>
      <c r="B121" s="27">
        <v>158650</v>
      </c>
      <c r="C121" s="29">
        <v>5210721</v>
      </c>
      <c r="D121" s="29">
        <v>64060</v>
      </c>
      <c r="E121" s="30">
        <v>162568.6</v>
      </c>
      <c r="F121" s="30">
        <v>151918.9</v>
      </c>
      <c r="G121" s="30">
        <v>2.6</v>
      </c>
      <c r="H121" s="30">
        <v>10.9</v>
      </c>
      <c r="I121" s="33">
        <v>4.5</v>
      </c>
      <c r="J121" s="33">
        <v>82.415000000000006</v>
      </c>
      <c r="K121" s="33">
        <v>1.71</v>
      </c>
      <c r="L121" s="29">
        <v>774043</v>
      </c>
      <c r="M121" s="32">
        <v>25</v>
      </c>
      <c r="N121" s="32">
        <v>16.899999999999999</v>
      </c>
      <c r="O121" s="32">
        <v>68580</v>
      </c>
      <c r="P121" s="34">
        <v>111280.1</v>
      </c>
      <c r="Q121" s="34">
        <v>120535.4</v>
      </c>
      <c r="R121" s="34">
        <v>37727546</v>
      </c>
      <c r="S121" s="34">
        <v>24.9</v>
      </c>
      <c r="T121" s="34">
        <v>38.299999999999997</v>
      </c>
      <c r="U121" s="34">
        <v>36.799999999999997</v>
      </c>
      <c r="V121" s="34">
        <v>0.95599999999999996</v>
      </c>
      <c r="W121" s="34">
        <v>17.950960160000001</v>
      </c>
      <c r="X121" s="34">
        <v>12.819060329999999</v>
      </c>
      <c r="Y121" s="34">
        <v>66256.564660000004</v>
      </c>
      <c r="Z121" s="34">
        <v>0.98599999999999999</v>
      </c>
      <c r="AA121" s="34">
        <v>3.3000000000000002E-2</v>
      </c>
      <c r="AB121" s="34">
        <v>2.2324275120000001</v>
      </c>
      <c r="AC121" s="34">
        <v>3.8540000000000001</v>
      </c>
      <c r="AD121" s="34">
        <v>8.5324610100000005</v>
      </c>
      <c r="AE121" s="34">
        <v>30.636099999999999</v>
      </c>
    </row>
    <row r="122" spans="1:31" x14ac:dyDescent="0.3">
      <c r="A122" s="3" t="s">
        <v>101</v>
      </c>
      <c r="B122" s="27">
        <v>1234932</v>
      </c>
      <c r="C122" s="29">
        <v>46440099</v>
      </c>
      <c r="D122" s="29">
        <v>23990</v>
      </c>
      <c r="E122" s="30">
        <v>503724</v>
      </c>
      <c r="F122" s="30">
        <v>648265</v>
      </c>
      <c r="G122" s="30">
        <v>3.9</v>
      </c>
      <c r="H122" s="30">
        <v>19</v>
      </c>
      <c r="I122" s="33">
        <v>3.7</v>
      </c>
      <c r="J122" s="33">
        <v>83.040999999999997</v>
      </c>
      <c r="K122" s="33">
        <v>1.34</v>
      </c>
      <c r="L122" s="29">
        <v>5918341</v>
      </c>
      <c r="M122" s="32">
        <v>28.3</v>
      </c>
      <c r="N122" s="32">
        <v>92.5</v>
      </c>
      <c r="O122" s="32">
        <v>23780</v>
      </c>
      <c r="P122" s="34">
        <v>332960</v>
      </c>
      <c r="Q122" s="34">
        <v>377370</v>
      </c>
      <c r="R122" s="34">
        <v>193872037</v>
      </c>
      <c r="S122" s="34">
        <v>42.6</v>
      </c>
      <c r="T122" s="34">
        <v>24.7</v>
      </c>
      <c r="U122" s="34">
        <v>32.700000000000003</v>
      </c>
      <c r="V122" s="34">
        <v>0.89400000000000002</v>
      </c>
      <c r="W122" s="34">
        <v>17.438989639999999</v>
      </c>
      <c r="X122" s="34">
        <v>10.01107979</v>
      </c>
      <c r="Y122" s="34">
        <v>38592.800810000001</v>
      </c>
      <c r="Z122" s="34">
        <v>0.98599999999999999</v>
      </c>
      <c r="AA122" s="34">
        <v>7.0000000000000007E-2</v>
      </c>
      <c r="AB122" s="34">
        <v>3.8303862870000001</v>
      </c>
      <c r="AC122" s="34">
        <v>7.2549999999999999</v>
      </c>
      <c r="AD122" s="34">
        <v>5.5866339639999998</v>
      </c>
      <c r="AE122" s="34">
        <v>12.949400000000001</v>
      </c>
    </row>
    <row r="123" spans="1:31" x14ac:dyDescent="0.3">
      <c r="A123" s="3" t="s">
        <v>102</v>
      </c>
      <c r="B123" s="27">
        <v>379393</v>
      </c>
      <c r="C123" s="29">
        <v>9851017</v>
      </c>
      <c r="D123" s="29">
        <v>46990</v>
      </c>
      <c r="E123" s="30">
        <v>220065.7</v>
      </c>
      <c r="F123" s="30">
        <v>213815.4</v>
      </c>
      <c r="G123" s="30">
        <v>2.7</v>
      </c>
      <c r="H123" s="30">
        <v>7.4</v>
      </c>
      <c r="I123" s="33">
        <v>5.4</v>
      </c>
      <c r="J123" s="33">
        <v>82.338999999999999</v>
      </c>
      <c r="K123" s="33">
        <v>1.85</v>
      </c>
      <c r="L123" s="29">
        <v>1675116</v>
      </c>
      <c r="M123" s="32">
        <v>31.5</v>
      </c>
      <c r="N123" s="32">
        <v>24.4</v>
      </c>
      <c r="O123" s="32">
        <v>42920</v>
      </c>
      <c r="P123" s="34">
        <v>184777.5</v>
      </c>
      <c r="Q123" s="34">
        <v>199056.1</v>
      </c>
      <c r="R123" s="34">
        <v>35952558</v>
      </c>
      <c r="S123" s="34">
        <v>21.1</v>
      </c>
      <c r="T123" s="34">
        <v>43.6</v>
      </c>
      <c r="U123" s="34">
        <v>35.299999999999997</v>
      </c>
      <c r="V123" s="34">
        <v>0.93899999999999995</v>
      </c>
      <c r="W123" s="34">
        <v>18.42341995</v>
      </c>
      <c r="X123" s="34">
        <v>12.41359997</v>
      </c>
      <c r="Y123" s="34">
        <v>51656.2333</v>
      </c>
      <c r="Z123" s="34">
        <v>0.98599999999999999</v>
      </c>
      <c r="AA123" s="34">
        <v>3.5999999999999997E-2</v>
      </c>
      <c r="AB123" s="34">
        <v>4.422984198</v>
      </c>
      <c r="AC123" s="34">
        <v>4.5640000000000001</v>
      </c>
      <c r="AD123" s="34">
        <v>4.3617720609999999</v>
      </c>
      <c r="AE123" s="34">
        <v>25.169699999999999</v>
      </c>
    </row>
    <row r="124" spans="1:31" x14ac:dyDescent="0.3">
      <c r="A124" s="3" t="s">
        <v>113</v>
      </c>
      <c r="B124" s="27">
        <v>2173481</v>
      </c>
      <c r="C124" s="29">
        <v>66809816</v>
      </c>
      <c r="D124" s="29">
        <v>34230</v>
      </c>
      <c r="E124" s="30">
        <v>1199841</v>
      </c>
      <c r="F124" s="30">
        <v>1240152</v>
      </c>
      <c r="G124" s="30">
        <v>5.0999999999999996</v>
      </c>
      <c r="H124" s="30">
        <v>8.8000000000000007</v>
      </c>
      <c r="I124" s="33">
        <v>3.5</v>
      </c>
      <c r="J124" s="33">
        <v>82.472999999999999</v>
      </c>
      <c r="K124" s="33">
        <v>1.89</v>
      </c>
      <c r="L124" s="29">
        <v>8098872</v>
      </c>
      <c r="M124" s="32">
        <v>30.9</v>
      </c>
      <c r="N124" s="32">
        <v>105.6</v>
      </c>
      <c r="O124" s="32">
        <v>32360</v>
      </c>
      <c r="P124" s="34">
        <v>735421</v>
      </c>
      <c r="Q124" s="34">
        <v>710965</v>
      </c>
      <c r="R124" s="34">
        <v>154096485</v>
      </c>
      <c r="S124" s="34">
        <v>25.2</v>
      </c>
      <c r="T124" s="34">
        <v>43.3</v>
      </c>
      <c r="U124" s="34">
        <v>31.4</v>
      </c>
      <c r="V124" s="34">
        <v>0.89900000000000002</v>
      </c>
      <c r="W124" s="34">
        <v>15.740360259999999</v>
      </c>
      <c r="X124" s="34">
        <v>11.409700389999999</v>
      </c>
      <c r="Y124" s="34">
        <v>45584.570870000003</v>
      </c>
      <c r="Z124" s="34">
        <v>0.98599999999999999</v>
      </c>
      <c r="AA124" s="34">
        <v>7.2999999999999995E-2</v>
      </c>
      <c r="AB124" s="34">
        <v>7.5465360969999997</v>
      </c>
      <c r="AC124" s="34">
        <v>7.2880000000000003</v>
      </c>
      <c r="AD124" s="34">
        <v>5.252173988</v>
      </c>
      <c r="AE124" s="34">
        <v>17.0654</v>
      </c>
    </row>
    <row r="125" spans="1:31" x14ac:dyDescent="0.3">
      <c r="A125" s="3" t="s">
        <v>130</v>
      </c>
      <c r="B125" s="27">
        <v>1321437</v>
      </c>
      <c r="C125" s="29">
        <v>46528024</v>
      </c>
      <c r="D125" s="29">
        <v>24980</v>
      </c>
      <c r="E125" s="30">
        <v>523665</v>
      </c>
      <c r="F125" s="30">
        <v>678102</v>
      </c>
      <c r="G125" s="30">
        <v>3.9</v>
      </c>
      <c r="H125" s="30">
        <v>18.3</v>
      </c>
      <c r="I125" s="33">
        <v>3.7</v>
      </c>
      <c r="J125" s="33">
        <v>83.028999999999996</v>
      </c>
      <c r="K125" s="33">
        <v>1.31</v>
      </c>
      <c r="L125" s="29">
        <v>6024698</v>
      </c>
      <c r="M125" s="32">
        <v>28.7</v>
      </c>
      <c r="N125" s="32">
        <v>92.7</v>
      </c>
      <c r="O125" s="32">
        <v>24440</v>
      </c>
      <c r="P125" s="34">
        <v>366493</v>
      </c>
      <c r="Q125" s="34">
        <v>408390</v>
      </c>
      <c r="R125" s="34">
        <v>209824089</v>
      </c>
      <c r="S125" s="34">
        <v>41.8</v>
      </c>
      <c r="T125" s="34">
        <v>24.9</v>
      </c>
      <c r="U125" s="34">
        <v>33.200000000000003</v>
      </c>
      <c r="V125" s="34">
        <v>0.89600000000000002</v>
      </c>
      <c r="W125" s="34">
        <v>17.48012924</v>
      </c>
      <c r="X125" s="34">
        <v>10.076714989999999</v>
      </c>
      <c r="Y125" s="34">
        <v>39565.056649999999</v>
      </c>
      <c r="Z125" s="34">
        <v>0.98599999999999999</v>
      </c>
      <c r="AA125" s="34">
        <v>6.8000000000000005E-2</v>
      </c>
      <c r="AB125" s="34">
        <v>3.9711813669999998</v>
      </c>
      <c r="AC125" s="34">
        <v>6.9320000000000004</v>
      </c>
      <c r="AD125" s="34">
        <v>5.8730723329999996</v>
      </c>
      <c r="AE125" s="34">
        <v>12.1355</v>
      </c>
    </row>
    <row r="126" spans="1:31" x14ac:dyDescent="0.3">
      <c r="A126" s="3" t="s">
        <v>153</v>
      </c>
      <c r="B126" s="27">
        <v>142381</v>
      </c>
      <c r="C126" s="29">
        <v>5295619</v>
      </c>
      <c r="D126" s="29">
        <v>70150</v>
      </c>
      <c r="E126" s="30">
        <v>170756</v>
      </c>
      <c r="F126" s="30">
        <v>159204.20000000001</v>
      </c>
      <c r="G126" s="30">
        <v>2</v>
      </c>
      <c r="H126" s="30">
        <v>9.9</v>
      </c>
      <c r="I126" s="33">
        <v>4.4000000000000004</v>
      </c>
      <c r="J126" s="33">
        <v>82.76</v>
      </c>
      <c r="K126" s="33">
        <v>1.56</v>
      </c>
      <c r="L126" s="29">
        <v>822360</v>
      </c>
      <c r="M126" s="32">
        <v>25.9</v>
      </c>
      <c r="N126" s="32">
        <v>17.2</v>
      </c>
      <c r="O126" s="32">
        <v>69840</v>
      </c>
      <c r="P126" s="34">
        <v>118438.7</v>
      </c>
      <c r="Q126" s="34">
        <v>142433.60000000001</v>
      </c>
      <c r="R126" s="34">
        <v>40030105</v>
      </c>
      <c r="S126" s="34">
        <v>23.9</v>
      </c>
      <c r="T126" s="34">
        <v>38.6</v>
      </c>
      <c r="U126" s="34">
        <v>37.5</v>
      </c>
      <c r="V126" s="34">
        <v>0.96</v>
      </c>
      <c r="W126" s="34">
        <v>18.14512062</v>
      </c>
      <c r="X126" s="34">
        <v>12.97539473</v>
      </c>
      <c r="Y126" s="34">
        <v>67394.011790000004</v>
      </c>
      <c r="Z126" s="34">
        <v>0.98599999999999999</v>
      </c>
      <c r="AA126" s="34">
        <v>1.7999999999999999E-2</v>
      </c>
      <c r="AB126" s="34">
        <v>1.993203858</v>
      </c>
      <c r="AC126" s="34">
        <v>2.6059999999999999</v>
      </c>
      <c r="AD126" s="34">
        <v>8.3349647610000002</v>
      </c>
      <c r="AE126" s="34">
        <v>32.713200000000001</v>
      </c>
    </row>
    <row r="127" spans="1:31" x14ac:dyDescent="0.3">
      <c r="A127" s="3" t="s">
        <v>175</v>
      </c>
      <c r="B127" s="27">
        <v>9369</v>
      </c>
      <c r="C127" s="29">
        <v>356991</v>
      </c>
      <c r="D127" s="29">
        <v>61130</v>
      </c>
      <c r="E127" s="30">
        <v>11797.4</v>
      </c>
      <c r="F127" s="30">
        <v>11060.3</v>
      </c>
      <c r="G127" s="30">
        <v>1.7</v>
      </c>
      <c r="H127" s="30">
        <v>17.899999999999999</v>
      </c>
      <c r="I127" s="33">
        <v>4.4000000000000004</v>
      </c>
      <c r="J127" s="33">
        <v>82.403999999999996</v>
      </c>
      <c r="K127" s="33">
        <v>1.74</v>
      </c>
      <c r="L127" s="29">
        <v>59999</v>
      </c>
      <c r="M127" s="32">
        <v>21.3</v>
      </c>
      <c r="N127" s="32">
        <v>3.6</v>
      </c>
      <c r="O127" s="32">
        <v>38940</v>
      </c>
      <c r="P127" s="34">
        <v>8629.7999999999993</v>
      </c>
      <c r="Q127" s="34">
        <v>9635.7999999999993</v>
      </c>
      <c r="R127" s="34">
        <v>7584197</v>
      </c>
      <c r="S127" s="34">
        <v>27.6</v>
      </c>
      <c r="T127" s="34">
        <v>34.6</v>
      </c>
      <c r="U127" s="34">
        <v>37.700000000000003</v>
      </c>
      <c r="V127" s="34">
        <v>0.95799999999999996</v>
      </c>
      <c r="W127" s="34">
        <v>18.234989169999999</v>
      </c>
      <c r="X127" s="34">
        <v>13.72735977</v>
      </c>
      <c r="Y127" s="34">
        <v>56452.94139</v>
      </c>
      <c r="Z127" s="34">
        <v>0.98599999999999999</v>
      </c>
      <c r="AA127" s="34">
        <v>5.0999999999999997E-2</v>
      </c>
      <c r="AB127" s="34">
        <v>3.1229383429999999</v>
      </c>
      <c r="AC127" s="34">
        <v>5.5380000000000003</v>
      </c>
      <c r="AD127" s="34">
        <v>9.8640700270000004</v>
      </c>
      <c r="AE127" s="34">
        <v>23.904199999999999</v>
      </c>
    </row>
    <row r="128" spans="1:31" x14ac:dyDescent="0.3">
      <c r="A128" s="3" t="s">
        <v>189</v>
      </c>
      <c r="B128" s="27">
        <v>292024</v>
      </c>
      <c r="C128" s="29">
        <v>10230185</v>
      </c>
      <c r="D128" s="29">
        <v>46390</v>
      </c>
      <c r="E128" s="30">
        <v>226144.9</v>
      </c>
      <c r="F128" s="30">
        <v>214297.4</v>
      </c>
      <c r="G128" s="30">
        <v>2.2000000000000002</v>
      </c>
      <c r="H128" s="30">
        <v>6.5</v>
      </c>
      <c r="I128" s="33">
        <v>4.4000000000000004</v>
      </c>
      <c r="J128" s="33">
        <v>83.052000000000007</v>
      </c>
      <c r="K128" s="33">
        <v>1.71</v>
      </c>
      <c r="L128" s="29">
        <v>1954065</v>
      </c>
      <c r="M128" s="32">
        <v>31.9</v>
      </c>
      <c r="N128" s="32">
        <v>25.2</v>
      </c>
      <c r="O128" s="32">
        <v>44180</v>
      </c>
      <c r="P128" s="34">
        <v>208032.5</v>
      </c>
      <c r="Q128" s="34">
        <v>227987.6</v>
      </c>
      <c r="R128" s="34">
        <v>37614763</v>
      </c>
      <c r="S128" s="34">
        <v>20.8</v>
      </c>
      <c r="T128" s="34">
        <v>41.5</v>
      </c>
      <c r="U128" s="34">
        <v>37.799999999999997</v>
      </c>
      <c r="V128" s="34">
        <v>0.94699999999999995</v>
      </c>
      <c r="W128" s="34">
        <v>18.522359850000001</v>
      </c>
      <c r="X128" s="34">
        <v>12.609720230000001</v>
      </c>
      <c r="Y128" s="34">
        <v>54441.037759999999</v>
      </c>
      <c r="Z128" s="34">
        <v>0.98599999999999999</v>
      </c>
      <c r="AA128" s="34">
        <v>2.3E-2</v>
      </c>
      <c r="AB128" s="34">
        <v>4.5291611749999996</v>
      </c>
      <c r="AC128" s="34">
        <v>3.4319999999999999</v>
      </c>
      <c r="AD128" s="34">
        <v>3.9936026</v>
      </c>
      <c r="AE128" s="34">
        <v>25.244900000000001</v>
      </c>
    </row>
    <row r="129" spans="1:31" x14ac:dyDescent="0.3">
      <c r="A129" s="3" t="s">
        <v>196</v>
      </c>
      <c r="B129" s="27">
        <v>206910</v>
      </c>
      <c r="C129" s="29">
        <v>10693939</v>
      </c>
      <c r="D129" s="29">
        <v>20170</v>
      </c>
      <c r="E129" s="30">
        <v>99236.3</v>
      </c>
      <c r="F129" s="30">
        <v>97829.5</v>
      </c>
      <c r="G129" s="30">
        <v>4.8</v>
      </c>
      <c r="H129" s="30">
        <v>7.6</v>
      </c>
      <c r="I129" s="33">
        <v>4.2</v>
      </c>
      <c r="J129" s="33">
        <v>78.575000000000003</v>
      </c>
      <c r="K129" s="33">
        <v>1.74</v>
      </c>
      <c r="L129" s="29">
        <v>533639</v>
      </c>
      <c r="M129" s="32">
        <v>31.1</v>
      </c>
      <c r="N129" s="32">
        <v>138.19999999999999</v>
      </c>
      <c r="O129" s="32">
        <v>17400</v>
      </c>
      <c r="P129" s="34">
        <v>136388</v>
      </c>
      <c r="Q129" s="34">
        <v>150953.20000000001</v>
      </c>
      <c r="R129" s="34">
        <v>3821372</v>
      </c>
      <c r="S129" s="34">
        <v>12.3</v>
      </c>
      <c r="T129" s="34">
        <v>65.599999999999994</v>
      </c>
      <c r="U129" s="34">
        <v>22.1</v>
      </c>
      <c r="V129" s="34">
        <v>0.89100000000000001</v>
      </c>
      <c r="W129" s="34">
        <v>16.138990400000001</v>
      </c>
      <c r="X129" s="34">
        <v>12.916053420000001</v>
      </c>
      <c r="Y129" s="34">
        <v>36695.691509999997</v>
      </c>
      <c r="Z129" s="34">
        <v>0.98599999999999999</v>
      </c>
      <c r="AA129" s="34">
        <v>0.125</v>
      </c>
      <c r="AB129" s="34">
        <v>3.3740163440000002</v>
      </c>
      <c r="AC129" s="34">
        <v>9.8390000000000004</v>
      </c>
      <c r="AD129" s="34">
        <v>8.7074170780000006</v>
      </c>
      <c r="AE129" s="34">
        <v>16.494800000000001</v>
      </c>
    </row>
    <row r="130" spans="1:31" x14ac:dyDescent="0.3">
      <c r="A130" s="3" t="s">
        <v>228</v>
      </c>
      <c r="B130" s="27">
        <v>1926554</v>
      </c>
      <c r="C130" s="29">
        <v>67656682</v>
      </c>
      <c r="D130" s="29">
        <v>36670</v>
      </c>
      <c r="E130" s="30">
        <v>1285617</v>
      </c>
      <c r="F130" s="30">
        <v>1315490</v>
      </c>
      <c r="G130" s="30">
        <v>4.3</v>
      </c>
      <c r="H130" s="30">
        <v>7.8</v>
      </c>
      <c r="I130" s="33">
        <v>3.2</v>
      </c>
      <c r="J130" s="33">
        <v>82.498999999999995</v>
      </c>
      <c r="K130" s="33">
        <v>1.84</v>
      </c>
      <c r="L130" s="29">
        <v>8670939</v>
      </c>
      <c r="M130" s="32">
        <v>33.6</v>
      </c>
      <c r="N130" s="32">
        <v>106.6</v>
      </c>
      <c r="O130" s="32">
        <v>32490</v>
      </c>
      <c r="P130" s="34">
        <v>798609</v>
      </c>
      <c r="Q130" s="34">
        <v>751511</v>
      </c>
      <c r="R130" s="34">
        <v>66033809</v>
      </c>
      <c r="S130" s="34">
        <v>22.1</v>
      </c>
      <c r="T130" s="34">
        <v>41.6</v>
      </c>
      <c r="U130" s="34">
        <v>36.299999999999997</v>
      </c>
      <c r="V130" s="34">
        <v>0.90600000000000003</v>
      </c>
      <c r="W130" s="34">
        <v>15.987560269999999</v>
      </c>
      <c r="X130" s="34">
        <v>11.688592460000001</v>
      </c>
      <c r="Y130" s="34">
        <v>46321.887280000003</v>
      </c>
      <c r="Z130" s="34">
        <v>0.98599999999999999</v>
      </c>
      <c r="AA130" s="34">
        <v>8.3000000000000004E-2</v>
      </c>
      <c r="AB130" s="34">
        <v>7.9090786360000003</v>
      </c>
      <c r="AC130" s="34">
        <v>9.5289999999999999</v>
      </c>
      <c r="AD130" s="34">
        <v>4.7538964110000004</v>
      </c>
      <c r="AE130" s="34">
        <v>18.109500000000001</v>
      </c>
    </row>
    <row r="131" spans="1:31" x14ac:dyDescent="0.3">
      <c r="A131" s="3" t="s">
        <v>246</v>
      </c>
      <c r="B131" s="27">
        <v>329868</v>
      </c>
      <c r="C131" s="29">
        <v>10379295</v>
      </c>
      <c r="D131" s="29">
        <v>51910</v>
      </c>
      <c r="E131" s="30">
        <v>253430.6</v>
      </c>
      <c r="F131" s="30">
        <v>236501.9</v>
      </c>
      <c r="G131" s="30">
        <v>2</v>
      </c>
      <c r="H131" s="30">
        <v>8.4</v>
      </c>
      <c r="I131" s="33">
        <v>3.7</v>
      </c>
      <c r="J131" s="33">
        <v>82.983000000000004</v>
      </c>
      <c r="K131" s="33">
        <v>1.67</v>
      </c>
      <c r="L131" s="29">
        <v>2045234</v>
      </c>
      <c r="M131" s="32">
        <v>32.4</v>
      </c>
      <c r="N131" s="32">
        <v>25.4</v>
      </c>
      <c r="O131" s="32">
        <v>45280</v>
      </c>
      <c r="P131" s="34">
        <v>225754</v>
      </c>
      <c r="Q131" s="34">
        <v>251424.3</v>
      </c>
      <c r="R131" s="34">
        <v>10798009</v>
      </c>
      <c r="S131" s="34">
        <v>20.100000000000001</v>
      </c>
      <c r="T131" s="34">
        <v>40.1</v>
      </c>
      <c r="U131" s="34">
        <v>39.700000000000003</v>
      </c>
      <c r="V131" s="34">
        <v>0.94899999999999995</v>
      </c>
      <c r="W131" s="34">
        <v>19.036769870000001</v>
      </c>
      <c r="X131" s="34">
        <v>12.673720149999999</v>
      </c>
      <c r="Y131" s="34">
        <v>55907.867890000001</v>
      </c>
      <c r="Z131" s="34">
        <v>0.98599999999999999</v>
      </c>
      <c r="AA131" s="34">
        <v>2.3E-2</v>
      </c>
      <c r="AB131" s="34">
        <v>4.5078392640000002</v>
      </c>
      <c r="AC131" s="34">
        <v>3.3450000000000002</v>
      </c>
      <c r="AD131" s="34">
        <v>3.6805620509999999</v>
      </c>
      <c r="AE131" s="34">
        <v>26.847999999999999</v>
      </c>
    </row>
    <row r="132" spans="1:31" x14ac:dyDescent="0.3">
      <c r="A132" s="3" t="s">
        <v>142</v>
      </c>
      <c r="B132" s="27">
        <v>2214279</v>
      </c>
      <c r="C132" s="29">
        <v>67026224</v>
      </c>
      <c r="D132" s="29">
        <v>35040</v>
      </c>
      <c r="E132" s="30">
        <v>1231533</v>
      </c>
      <c r="F132" s="30">
        <v>1273391</v>
      </c>
      <c r="G132" s="30">
        <v>4.8</v>
      </c>
      <c r="H132" s="30">
        <v>8.6999999999999993</v>
      </c>
      <c r="I132" s="33">
        <v>4.4000000000000004</v>
      </c>
      <c r="J132" s="33">
        <v>82.590999999999994</v>
      </c>
      <c r="K132" s="33">
        <v>1.87</v>
      </c>
      <c r="L132" s="29">
        <v>8199663</v>
      </c>
      <c r="M132" s="32">
        <v>31.6</v>
      </c>
      <c r="N132" s="32">
        <v>105.9</v>
      </c>
      <c r="O132" s="32">
        <v>32800</v>
      </c>
      <c r="P132" s="34">
        <v>773375</v>
      </c>
      <c r="Q132" s="34">
        <v>749491</v>
      </c>
      <c r="R132" s="34">
        <v>161991179</v>
      </c>
      <c r="S132" s="34">
        <v>24.4</v>
      </c>
      <c r="T132" s="34">
        <v>42.8</v>
      </c>
      <c r="U132" s="34">
        <v>32.799999999999997</v>
      </c>
      <c r="V132" s="34">
        <v>0.90300000000000002</v>
      </c>
      <c r="W132" s="34">
        <v>15.843549729999999</v>
      </c>
      <c r="X132" s="34">
        <v>11.509880069999999</v>
      </c>
      <c r="Y132" s="34">
        <v>46291.008849999998</v>
      </c>
      <c r="Z132" s="34">
        <v>0.98699999999999999</v>
      </c>
      <c r="AA132" s="34">
        <v>7.8E-2</v>
      </c>
      <c r="AB132" s="34">
        <v>7.8024031489999999</v>
      </c>
      <c r="AC132" s="34">
        <v>8.1660000000000004</v>
      </c>
      <c r="AD132" s="34">
        <v>5.0107262529999996</v>
      </c>
      <c r="AE132" s="34">
        <v>17.4741</v>
      </c>
    </row>
    <row r="133" spans="1:31" x14ac:dyDescent="0.3">
      <c r="A133" s="3" t="s">
        <v>159</v>
      </c>
      <c r="B133" s="27">
        <v>1258251</v>
      </c>
      <c r="C133" s="29">
        <v>46658447</v>
      </c>
      <c r="D133" s="29">
        <v>25760</v>
      </c>
      <c r="E133" s="30">
        <v>546072</v>
      </c>
      <c r="F133" s="30">
        <v>699474</v>
      </c>
      <c r="G133" s="30">
        <v>3.9</v>
      </c>
      <c r="H133" s="30">
        <v>17.899999999999999</v>
      </c>
      <c r="I133" s="33">
        <v>4.4000000000000004</v>
      </c>
      <c r="J133" s="33">
        <v>83.144000000000005</v>
      </c>
      <c r="K133" s="33">
        <v>1.26</v>
      </c>
      <c r="L133" s="29">
        <v>6198833</v>
      </c>
      <c r="M133" s="32">
        <v>29.2</v>
      </c>
      <c r="N133" s="32">
        <v>93.1</v>
      </c>
      <c r="O133" s="32">
        <v>24890</v>
      </c>
      <c r="P133" s="34">
        <v>390410</v>
      </c>
      <c r="Q133" s="34">
        <v>423097</v>
      </c>
      <c r="R133" s="34">
        <v>220611429</v>
      </c>
      <c r="S133" s="34">
        <v>40.799999999999997</v>
      </c>
      <c r="T133" s="34">
        <v>25.2</v>
      </c>
      <c r="U133" s="34">
        <v>34</v>
      </c>
      <c r="V133" s="34">
        <v>0.89900000000000002</v>
      </c>
      <c r="W133" s="34">
        <v>17.51925087</v>
      </c>
      <c r="X133" s="34">
        <v>10.142350199999999</v>
      </c>
      <c r="Y133" s="34">
        <v>40334.818189999998</v>
      </c>
      <c r="Z133" s="34">
        <v>0.98699999999999999</v>
      </c>
      <c r="AA133" s="34">
        <v>6.2E-2</v>
      </c>
      <c r="AB133" s="34">
        <v>4.0544796620000003</v>
      </c>
      <c r="AC133" s="34">
        <v>6.1840000000000002</v>
      </c>
      <c r="AD133" s="34">
        <v>5.7403028970000003</v>
      </c>
      <c r="AE133" s="34">
        <v>13.099500000000001</v>
      </c>
    </row>
    <row r="134" spans="1:31" x14ac:dyDescent="0.3">
      <c r="A134" s="3" t="s">
        <v>188</v>
      </c>
      <c r="B134" s="27">
        <v>851210</v>
      </c>
      <c r="C134" s="29">
        <v>46937060</v>
      </c>
      <c r="D134" s="29">
        <v>26440</v>
      </c>
      <c r="E134" s="30">
        <v>580195</v>
      </c>
      <c r="F134" s="30">
        <v>714535</v>
      </c>
      <c r="G134" s="30">
        <v>3.7</v>
      </c>
      <c r="H134" s="30">
        <v>17.3</v>
      </c>
      <c r="I134" s="33">
        <v>4.4000000000000004</v>
      </c>
      <c r="J134" s="33">
        <v>83.531999999999996</v>
      </c>
      <c r="K134" s="33">
        <v>1.23</v>
      </c>
      <c r="L134" s="29">
        <v>6538961</v>
      </c>
      <c r="M134" s="32">
        <v>29.5</v>
      </c>
      <c r="N134" s="32">
        <v>93.8</v>
      </c>
      <c r="O134" s="32">
        <v>25180</v>
      </c>
      <c r="P134" s="34">
        <v>398153</v>
      </c>
      <c r="Q134" s="34">
        <v>434770</v>
      </c>
      <c r="R134" s="34">
        <v>228262372</v>
      </c>
      <c r="S134" s="34">
        <v>39.6</v>
      </c>
      <c r="T134" s="34">
        <v>25.3</v>
      </c>
      <c r="U134" s="34">
        <v>35.1</v>
      </c>
      <c r="V134" s="34">
        <v>0.90400000000000003</v>
      </c>
      <c r="W134" s="34">
        <v>17.500810619999999</v>
      </c>
      <c r="X134" s="34">
        <v>10.373875140000001</v>
      </c>
      <c r="Y134" s="34">
        <v>40854.139360000001</v>
      </c>
      <c r="Z134" s="34">
        <v>0.98699999999999999</v>
      </c>
      <c r="AA134" s="34">
        <v>5.6000000000000001E-2</v>
      </c>
      <c r="AB134" s="34">
        <v>3.167691268</v>
      </c>
      <c r="AC134" s="34">
        <v>5.9409999999999998</v>
      </c>
      <c r="AD134" s="34">
        <v>5.3183429499999999</v>
      </c>
      <c r="AE134" s="34">
        <v>11.9724</v>
      </c>
    </row>
    <row r="135" spans="1:31" x14ac:dyDescent="0.3">
      <c r="A135" s="3" t="s">
        <v>218</v>
      </c>
      <c r="B135" s="27">
        <v>301008</v>
      </c>
      <c r="C135" s="29">
        <v>10327589</v>
      </c>
      <c r="D135" s="29">
        <v>46420</v>
      </c>
      <c r="E135" s="30">
        <v>230814.9</v>
      </c>
      <c r="F135" s="30">
        <v>211352.7</v>
      </c>
      <c r="G135" s="30">
        <v>2</v>
      </c>
      <c r="H135" s="30">
        <v>7.7</v>
      </c>
      <c r="I135" s="33">
        <v>3.6</v>
      </c>
      <c r="J135" s="33">
        <v>82.427000000000007</v>
      </c>
      <c r="K135" s="33">
        <v>1.67</v>
      </c>
      <c r="L135" s="29">
        <v>2018191</v>
      </c>
      <c r="M135" s="32">
        <v>32.1</v>
      </c>
      <c r="N135" s="32">
        <v>25.2</v>
      </c>
      <c r="O135" s="32">
        <v>42910</v>
      </c>
      <c r="P135" s="34">
        <v>189164.79999999999</v>
      </c>
      <c r="Q135" s="34">
        <v>210711</v>
      </c>
      <c r="R135" s="34">
        <v>9317677</v>
      </c>
      <c r="S135" s="34">
        <v>20.7</v>
      </c>
      <c r="T135" s="34">
        <v>41.1</v>
      </c>
      <c r="U135" s="34">
        <v>38.299999999999997</v>
      </c>
      <c r="V135" s="34">
        <v>0.94399999999999995</v>
      </c>
      <c r="W135" s="34">
        <v>18.65209007</v>
      </c>
      <c r="X135" s="34">
        <v>12.673720149999999</v>
      </c>
      <c r="Y135" s="34">
        <v>53195.457600000002</v>
      </c>
      <c r="Z135" s="34">
        <v>0.98699999999999999</v>
      </c>
      <c r="AA135" s="34">
        <v>2.3E-2</v>
      </c>
      <c r="AB135" s="34">
        <v>4.5078392640000002</v>
      </c>
      <c r="AC135" s="34">
        <v>3.3250000000000002</v>
      </c>
      <c r="AD135" s="34">
        <v>3.5381048970000002</v>
      </c>
      <c r="AE135" s="34">
        <v>25.319800000000001</v>
      </c>
    </row>
    <row r="136" spans="1:31" x14ac:dyDescent="0.3">
      <c r="A136" s="3" t="s">
        <v>233</v>
      </c>
      <c r="B136" s="27">
        <v>131400</v>
      </c>
      <c r="C136" s="29">
        <v>5006324</v>
      </c>
      <c r="D136" s="29">
        <v>86490</v>
      </c>
      <c r="E136" s="30">
        <v>111193.60000000001</v>
      </c>
      <c r="F136" s="30">
        <v>106117</v>
      </c>
      <c r="G136" s="30">
        <v>2.7</v>
      </c>
      <c r="H136" s="30">
        <v>3.3</v>
      </c>
      <c r="I136" s="33">
        <v>3.3</v>
      </c>
      <c r="J136" s="33">
        <v>81.998000000000005</v>
      </c>
      <c r="K136" s="33">
        <v>1.78</v>
      </c>
      <c r="L136" s="29">
        <v>883319</v>
      </c>
      <c r="M136" s="32">
        <v>22.6</v>
      </c>
      <c r="N136" s="32">
        <v>72.599999999999994</v>
      </c>
      <c r="O136" s="32">
        <v>72110</v>
      </c>
      <c r="P136" s="34">
        <v>406573.3</v>
      </c>
      <c r="Q136" s="34">
        <v>580522.1</v>
      </c>
      <c r="R136" s="34">
        <v>9097359</v>
      </c>
      <c r="S136" s="34">
        <v>17.7</v>
      </c>
      <c r="T136" s="34">
        <v>37.1</v>
      </c>
      <c r="U136" s="34">
        <v>45.2</v>
      </c>
      <c r="V136" s="34">
        <v>0.94599999999999995</v>
      </c>
      <c r="W136" s="34">
        <v>19.126100539999999</v>
      </c>
      <c r="X136" s="34">
        <v>11.6569568</v>
      </c>
      <c r="Y136" s="34">
        <v>78952.57114</v>
      </c>
      <c r="Z136" s="34">
        <v>0.98699999999999999</v>
      </c>
      <c r="AA136" s="34">
        <v>7.2999999999999995E-2</v>
      </c>
      <c r="AB136" s="34">
        <v>4.983957073</v>
      </c>
      <c r="AC136" s="34">
        <v>5.9409999999999998</v>
      </c>
      <c r="AD136" s="34">
        <v>7.5297511730000002</v>
      </c>
      <c r="AE136" s="34">
        <v>26.9391</v>
      </c>
    </row>
    <row r="137" spans="1:31" x14ac:dyDescent="0.3">
      <c r="A137" s="3" t="s">
        <v>35</v>
      </c>
      <c r="B137" s="27">
        <v>46473</v>
      </c>
      <c r="C137" s="29">
        <v>549680</v>
      </c>
      <c r="D137" s="29">
        <v>92760</v>
      </c>
      <c r="E137" s="30">
        <v>24041.5</v>
      </c>
      <c r="F137" s="30">
        <v>16945.400000000001</v>
      </c>
      <c r="G137" s="30">
        <v>6.3</v>
      </c>
      <c r="H137" s="30">
        <v>6.1</v>
      </c>
      <c r="I137" s="33">
        <v>3</v>
      </c>
      <c r="J137" s="33">
        <v>81.733999999999995</v>
      </c>
      <c r="K137" s="33">
        <v>1.5</v>
      </c>
      <c r="L137" s="29">
        <v>237848</v>
      </c>
      <c r="M137" s="32">
        <v>20.399999999999999</v>
      </c>
      <c r="N137" s="32">
        <v>215.1</v>
      </c>
      <c r="O137" s="32">
        <v>82590</v>
      </c>
      <c r="P137" s="34">
        <v>78021.7</v>
      </c>
      <c r="Q137" s="34">
        <v>94665.5</v>
      </c>
      <c r="R137" s="34">
        <v>2433966</v>
      </c>
      <c r="S137" s="34">
        <v>24.9</v>
      </c>
      <c r="T137" s="34">
        <v>35.5</v>
      </c>
      <c r="U137" s="34">
        <v>39.6</v>
      </c>
      <c r="V137" s="34">
        <v>0.92700000000000005</v>
      </c>
      <c r="W137" s="34">
        <v>14.070036890000001</v>
      </c>
      <c r="X137" s="34">
        <v>13.425290110000001</v>
      </c>
      <c r="Y137" s="34">
        <v>81842.655729999999</v>
      </c>
      <c r="Z137" s="34">
        <v>0.98799999999999999</v>
      </c>
      <c r="AA137" s="34">
        <v>7.0000000000000007E-2</v>
      </c>
      <c r="AB137" s="34">
        <v>6.2876754000000004</v>
      </c>
      <c r="AC137" s="34">
        <v>5.6219999999999999</v>
      </c>
      <c r="AD137" s="34">
        <v>17.665973109999999</v>
      </c>
      <c r="AE137" s="34">
        <v>39.437100000000001</v>
      </c>
    </row>
    <row r="138" spans="1:31" x14ac:dyDescent="0.3">
      <c r="A138" s="3" t="s">
        <v>51</v>
      </c>
      <c r="B138" s="27">
        <v>259693</v>
      </c>
      <c r="C138" s="29">
        <v>10538275</v>
      </c>
      <c r="D138" s="29">
        <v>16080</v>
      </c>
      <c r="E138" s="30">
        <v>69333</v>
      </c>
      <c r="F138" s="30">
        <v>79963</v>
      </c>
      <c r="G138" s="30">
        <v>7</v>
      </c>
      <c r="H138" s="30">
        <v>6.2</v>
      </c>
      <c r="I138" s="33">
        <v>4.5999999999999996</v>
      </c>
      <c r="J138" s="33">
        <v>78.58</v>
      </c>
      <c r="K138" s="33">
        <v>1.57</v>
      </c>
      <c r="L138" s="29">
        <v>416454</v>
      </c>
      <c r="M138" s="32">
        <v>26.6</v>
      </c>
      <c r="N138" s="32">
        <v>136.6</v>
      </c>
      <c r="O138" s="32">
        <v>16290</v>
      </c>
      <c r="P138" s="34">
        <v>126519</v>
      </c>
      <c r="Q138" s="34">
        <v>136594</v>
      </c>
      <c r="R138" s="34">
        <v>12672004</v>
      </c>
      <c r="S138" s="34">
        <v>12.4</v>
      </c>
      <c r="T138" s="34">
        <v>67.8</v>
      </c>
      <c r="U138" s="34">
        <v>19.8</v>
      </c>
      <c r="V138" s="34">
        <v>0.89100000000000001</v>
      </c>
      <c r="W138" s="34">
        <v>16.954700469999999</v>
      </c>
      <c r="X138" s="34">
        <v>12.673339840000001</v>
      </c>
      <c r="Y138" s="34">
        <v>33678.653169999998</v>
      </c>
      <c r="Z138" s="34">
        <v>0.98799999999999999</v>
      </c>
      <c r="AA138" s="34">
        <v>0.13900000000000001</v>
      </c>
      <c r="AB138" s="34">
        <v>3.501448882</v>
      </c>
      <c r="AC138" s="34">
        <v>11.625999999999999</v>
      </c>
      <c r="AD138" s="34">
        <v>9.979505498</v>
      </c>
      <c r="AE138" s="34">
        <v>16.839500000000001</v>
      </c>
    </row>
    <row r="139" spans="1:31" x14ac:dyDescent="0.3">
      <c r="A139" s="3" t="s">
        <v>66</v>
      </c>
      <c r="B139" s="27">
        <v>154603</v>
      </c>
      <c r="C139" s="29">
        <v>5166493</v>
      </c>
      <c r="D139" s="29">
        <v>67390</v>
      </c>
      <c r="E139" s="30">
        <v>166023.70000000001</v>
      </c>
      <c r="F139" s="30">
        <v>151321.60000000001</v>
      </c>
      <c r="G139" s="30">
        <v>2.2999999999999998</v>
      </c>
      <c r="H139" s="30">
        <v>10.199999999999999</v>
      </c>
      <c r="I139" s="33">
        <v>4.5</v>
      </c>
      <c r="J139" s="33">
        <v>82.272000000000006</v>
      </c>
      <c r="K139" s="33">
        <v>1.72</v>
      </c>
      <c r="L139" s="29">
        <v>704440</v>
      </c>
      <c r="M139" s="32">
        <v>24.2</v>
      </c>
      <c r="N139" s="32">
        <v>17.100000000000001</v>
      </c>
      <c r="O139" s="32">
        <v>68390</v>
      </c>
      <c r="P139" s="34">
        <v>111420.8</v>
      </c>
      <c r="Q139" s="34">
        <v>134919.29999999999</v>
      </c>
      <c r="R139" s="34">
        <v>37503052</v>
      </c>
      <c r="S139" s="34">
        <v>24.3</v>
      </c>
      <c r="T139" s="34">
        <v>38.9</v>
      </c>
      <c r="U139" s="34">
        <v>36.700000000000003</v>
      </c>
      <c r="V139" s="34">
        <v>0.95199999999999996</v>
      </c>
      <c r="W139" s="34">
        <v>17.779869080000001</v>
      </c>
      <c r="X139" s="34">
        <v>12.77120972</v>
      </c>
      <c r="Y139" s="34">
        <v>66031.134319999997</v>
      </c>
      <c r="Z139" s="34">
        <v>0.98799999999999999</v>
      </c>
      <c r="AA139" s="34">
        <v>0.04</v>
      </c>
      <c r="AB139" s="34">
        <v>2.405306291</v>
      </c>
      <c r="AC139" s="34">
        <v>4.5190000000000001</v>
      </c>
      <c r="AD139" s="34">
        <v>8.7704966669999997</v>
      </c>
      <c r="AE139" s="34">
        <v>28.329899999999999</v>
      </c>
    </row>
    <row r="140" spans="1:31" x14ac:dyDescent="0.3">
      <c r="A140" s="3" t="s">
        <v>73</v>
      </c>
      <c r="B140" s="27">
        <v>372318</v>
      </c>
      <c r="C140" s="29">
        <v>9747355</v>
      </c>
      <c r="D140" s="29">
        <v>46480</v>
      </c>
      <c r="E140" s="30">
        <v>212471.3</v>
      </c>
      <c r="F140" s="30">
        <v>209725.2</v>
      </c>
      <c r="G140" s="30">
        <v>2.6</v>
      </c>
      <c r="H140" s="30">
        <v>7</v>
      </c>
      <c r="I140" s="33">
        <v>5.3</v>
      </c>
      <c r="J140" s="33">
        <v>82.183000000000007</v>
      </c>
      <c r="K140" s="33">
        <v>1.85</v>
      </c>
      <c r="L140" s="29">
        <v>1602522</v>
      </c>
      <c r="M140" s="32">
        <v>31.1</v>
      </c>
      <c r="N140" s="32">
        <v>24.1</v>
      </c>
      <c r="O140" s="32">
        <v>42580</v>
      </c>
      <c r="P140" s="34">
        <v>182002.2</v>
      </c>
      <c r="Q140" s="34">
        <v>199355.3</v>
      </c>
      <c r="R140" s="34">
        <v>34011263</v>
      </c>
      <c r="S140" s="34">
        <v>21.6</v>
      </c>
      <c r="T140" s="34">
        <v>44.4</v>
      </c>
      <c r="U140" s="34">
        <v>34</v>
      </c>
      <c r="V140" s="34">
        <v>0.93700000000000006</v>
      </c>
      <c r="W140" s="34">
        <v>18.320880890000002</v>
      </c>
      <c r="X140" s="34">
        <v>12.35441017</v>
      </c>
      <c r="Y140" s="34">
        <v>51362.631529999999</v>
      </c>
      <c r="Z140" s="34">
        <v>0.98799999999999999</v>
      </c>
      <c r="AA140" s="34">
        <v>3.7999999999999999E-2</v>
      </c>
      <c r="AB140" s="34">
        <v>4.4464410750000001</v>
      </c>
      <c r="AC140" s="34">
        <v>4.7350000000000003</v>
      </c>
      <c r="AD140" s="34">
        <v>4.408281197</v>
      </c>
      <c r="AE140" s="34">
        <v>23.487400000000001</v>
      </c>
    </row>
    <row r="141" spans="1:31" x14ac:dyDescent="0.3">
      <c r="A141" s="3" t="s">
        <v>80</v>
      </c>
      <c r="B141" s="27">
        <v>271595</v>
      </c>
      <c r="C141" s="29">
        <v>10553843</v>
      </c>
      <c r="D141" s="29">
        <v>16790</v>
      </c>
      <c r="E141" s="30">
        <v>74076.7</v>
      </c>
      <c r="F141" s="30">
        <v>84080.9</v>
      </c>
      <c r="G141" s="30">
        <v>5.8</v>
      </c>
      <c r="H141" s="30">
        <v>6.6</v>
      </c>
      <c r="I141" s="33">
        <v>4.8</v>
      </c>
      <c r="J141" s="33">
        <v>78.997</v>
      </c>
      <c r="K141" s="33">
        <v>1.63</v>
      </c>
      <c r="L141" s="29">
        <v>433290</v>
      </c>
      <c r="M141" s="32">
        <v>27.6</v>
      </c>
      <c r="N141" s="32">
        <v>136.80000000000001</v>
      </c>
      <c r="O141" s="32">
        <v>16670</v>
      </c>
      <c r="P141" s="34">
        <v>126831.6</v>
      </c>
      <c r="Q141" s="34">
        <v>140366.39999999999</v>
      </c>
      <c r="R141" s="34">
        <v>13672362</v>
      </c>
      <c r="S141" s="34">
        <v>12.4</v>
      </c>
      <c r="T141" s="34">
        <v>67.099999999999994</v>
      </c>
      <c r="U141" s="34">
        <v>20.6</v>
      </c>
      <c r="V141" s="34">
        <v>0.89400000000000002</v>
      </c>
      <c r="W141" s="34">
        <v>16.786090850000001</v>
      </c>
      <c r="X141" s="34">
        <v>12.73709011</v>
      </c>
      <c r="Y141" s="34">
        <v>34495.433980000002</v>
      </c>
      <c r="Z141" s="34">
        <v>0.98799999999999999</v>
      </c>
      <c r="AA141" s="34">
        <v>0.13800000000000001</v>
      </c>
      <c r="AB141" s="34">
        <v>3.4970070400000002</v>
      </c>
      <c r="AC141" s="34">
        <v>11.62</v>
      </c>
      <c r="AD141" s="34">
        <v>10.13345788</v>
      </c>
      <c r="AE141" s="34">
        <v>16.7088</v>
      </c>
    </row>
    <row r="142" spans="1:31" x14ac:dyDescent="0.3">
      <c r="A142" s="3" t="s">
        <v>93</v>
      </c>
      <c r="B142" s="27">
        <v>52775</v>
      </c>
      <c r="C142" s="29">
        <v>576249</v>
      </c>
      <c r="D142" s="29">
        <v>96230</v>
      </c>
      <c r="E142" s="30">
        <v>25994.5</v>
      </c>
      <c r="F142" s="30">
        <v>18342.900000000001</v>
      </c>
      <c r="G142" s="30">
        <v>5.5</v>
      </c>
      <c r="H142" s="30">
        <v>5.5</v>
      </c>
      <c r="I142" s="33">
        <v>3.2</v>
      </c>
      <c r="J142" s="33">
        <v>82.052999999999997</v>
      </c>
      <c r="K142" s="33">
        <v>1.41</v>
      </c>
      <c r="L142" s="29">
        <v>260573</v>
      </c>
      <c r="M142" s="32">
        <v>20.5</v>
      </c>
      <c r="N142" s="32">
        <v>225.1</v>
      </c>
      <c r="O142" s="32">
        <v>84750</v>
      </c>
      <c r="P142" s="34">
        <v>88437.1</v>
      </c>
      <c r="Q142" s="34">
        <v>107412.9</v>
      </c>
      <c r="R142" s="34">
        <v>2984242</v>
      </c>
      <c r="S142" s="34">
        <v>28.2</v>
      </c>
      <c r="T142" s="34">
        <v>35.4</v>
      </c>
      <c r="U142" s="34">
        <v>36.4</v>
      </c>
      <c r="V142" s="34">
        <v>0.92200000000000004</v>
      </c>
      <c r="W142" s="34">
        <v>14.167229649999999</v>
      </c>
      <c r="X142" s="34">
        <v>12.844303439999999</v>
      </c>
      <c r="Y142" s="34">
        <v>77202.311709999994</v>
      </c>
      <c r="Z142" s="34">
        <v>0.98799999999999999</v>
      </c>
      <c r="AA142" s="34">
        <v>6.0999999999999999E-2</v>
      </c>
      <c r="AB142" s="34">
        <v>6.3304022639999999</v>
      </c>
      <c r="AC142" s="34">
        <v>4.92</v>
      </c>
      <c r="AD142" s="34">
        <v>15.589585</v>
      </c>
      <c r="AE142" s="34">
        <v>37.772500000000001</v>
      </c>
    </row>
    <row r="143" spans="1:31" x14ac:dyDescent="0.3">
      <c r="A143" s="3" t="s">
        <v>109</v>
      </c>
      <c r="B143" s="27">
        <v>261437</v>
      </c>
      <c r="C143" s="29">
        <v>10578820</v>
      </c>
      <c r="D143" s="29">
        <v>18330</v>
      </c>
      <c r="E143" s="30">
        <v>83001</v>
      </c>
      <c r="F143" s="30">
        <v>91919</v>
      </c>
      <c r="G143" s="30">
        <v>5.4</v>
      </c>
      <c r="H143" s="30">
        <v>6.7</v>
      </c>
      <c r="I143" s="33">
        <v>5</v>
      </c>
      <c r="J143" s="33">
        <v>78.956000000000003</v>
      </c>
      <c r="K143" s="33">
        <v>1.69</v>
      </c>
      <c r="L143" s="29">
        <v>465056</v>
      </c>
      <c r="M143" s="32">
        <v>28.6</v>
      </c>
      <c r="N143" s="32">
        <v>137.19999999999999</v>
      </c>
      <c r="O143" s="32">
        <v>17490</v>
      </c>
      <c r="P143" s="34">
        <v>138815.70000000001</v>
      </c>
      <c r="Q143" s="34">
        <v>153417.70000000001</v>
      </c>
      <c r="R143" s="34">
        <v>16245554</v>
      </c>
      <c r="S143" s="34">
        <v>12.1</v>
      </c>
      <c r="T143" s="34">
        <v>66.5</v>
      </c>
      <c r="U143" s="34">
        <v>21.4</v>
      </c>
      <c r="V143" s="34">
        <v>0.89600000000000002</v>
      </c>
      <c r="W143" s="34">
        <v>16.678140639999999</v>
      </c>
      <c r="X143" s="34">
        <v>12.786820410000001</v>
      </c>
      <c r="Y143" s="34">
        <v>36626.685579999998</v>
      </c>
      <c r="Z143" s="34">
        <v>0.98799999999999999</v>
      </c>
      <c r="AA143" s="34">
        <v>0.13300000000000001</v>
      </c>
      <c r="AB143" s="34">
        <v>3.141777695</v>
      </c>
      <c r="AC143" s="34">
        <v>11.523</v>
      </c>
      <c r="AD143" s="34">
        <v>10.233926370000001</v>
      </c>
      <c r="AE143" s="34">
        <v>17.025600000000001</v>
      </c>
    </row>
    <row r="144" spans="1:31" x14ac:dyDescent="0.3">
      <c r="A144" s="3" t="s">
        <v>141</v>
      </c>
      <c r="B144" s="27">
        <v>114188</v>
      </c>
      <c r="C144" s="29">
        <v>5513130</v>
      </c>
      <c r="D144" s="29">
        <v>42320</v>
      </c>
      <c r="E144" s="30">
        <v>108633</v>
      </c>
      <c r="F144" s="30">
        <v>123936</v>
      </c>
      <c r="G144" s="30">
        <v>4.3</v>
      </c>
      <c r="H144" s="30">
        <v>8.3000000000000007</v>
      </c>
      <c r="I144" s="33">
        <v>4.4000000000000004</v>
      </c>
      <c r="J144" s="33">
        <v>81.626999999999995</v>
      </c>
      <c r="K144" s="33">
        <v>1.41</v>
      </c>
      <c r="L144" s="29">
        <v>363717</v>
      </c>
      <c r="M144" s="32">
        <v>34.200000000000003</v>
      </c>
      <c r="N144" s="32">
        <v>18.100000000000001</v>
      </c>
      <c r="O144" s="32">
        <v>36740</v>
      </c>
      <c r="P144" s="34">
        <v>92739</v>
      </c>
      <c r="Q144" s="34">
        <v>89810</v>
      </c>
      <c r="R144" s="34">
        <v>22173530</v>
      </c>
      <c r="S144" s="34">
        <v>17.7</v>
      </c>
      <c r="T144" s="34">
        <v>45.1</v>
      </c>
      <c r="U144" s="34">
        <v>37.299999999999997</v>
      </c>
      <c r="V144" s="34">
        <v>0.93600000000000005</v>
      </c>
      <c r="W144" s="34">
        <v>19.451150890000001</v>
      </c>
      <c r="X144" s="34">
        <v>12.80649996</v>
      </c>
      <c r="Y144" s="34">
        <v>48241.610070000002</v>
      </c>
      <c r="Z144" s="34">
        <v>0.98799999999999999</v>
      </c>
      <c r="AA144" s="34">
        <v>3.6999999999999998E-2</v>
      </c>
      <c r="AB144" s="34">
        <v>7.6740788249999996</v>
      </c>
      <c r="AC144" s="34">
        <v>4.3280000000000003</v>
      </c>
      <c r="AD144" s="34">
        <v>8.2912380310000007</v>
      </c>
      <c r="AE144" s="34">
        <v>36.000999999999998</v>
      </c>
    </row>
    <row r="145" spans="1:31" x14ac:dyDescent="0.3">
      <c r="A145" s="3" t="s">
        <v>170</v>
      </c>
      <c r="B145" s="27">
        <v>96430</v>
      </c>
      <c r="C145" s="29">
        <v>5517919</v>
      </c>
      <c r="D145" s="29">
        <v>43440</v>
      </c>
      <c r="E145" s="30">
        <v>112001</v>
      </c>
      <c r="F145" s="30">
        <v>126081</v>
      </c>
      <c r="G145" s="30">
        <v>3.8</v>
      </c>
      <c r="H145" s="30">
        <v>7.3</v>
      </c>
      <c r="I145" s="33">
        <v>4.4000000000000004</v>
      </c>
      <c r="J145" s="33">
        <v>81.870999999999995</v>
      </c>
      <c r="K145" s="33">
        <v>1.35</v>
      </c>
      <c r="L145" s="29">
        <v>377360</v>
      </c>
      <c r="M145" s="32">
        <v>35.1</v>
      </c>
      <c r="N145" s="32">
        <v>18.2</v>
      </c>
      <c r="O145" s="32">
        <v>37150</v>
      </c>
      <c r="P145" s="34">
        <v>95283</v>
      </c>
      <c r="Q145" s="34">
        <v>95657</v>
      </c>
      <c r="R145" s="34">
        <v>23287929</v>
      </c>
      <c r="S145" s="34">
        <v>16.899999999999999</v>
      </c>
      <c r="T145" s="34">
        <v>44.6</v>
      </c>
      <c r="U145" s="34">
        <v>38.5</v>
      </c>
      <c r="V145" s="34">
        <v>0.93899999999999995</v>
      </c>
      <c r="W145" s="34">
        <v>19.04310989</v>
      </c>
      <c r="X145" s="34">
        <v>12.87362003</v>
      </c>
      <c r="Y145" s="34">
        <v>48828.940770000001</v>
      </c>
      <c r="Z145" s="34">
        <v>0.98799999999999999</v>
      </c>
      <c r="AA145" s="34">
        <v>3.1E-2</v>
      </c>
      <c r="AB145" s="34">
        <v>8.53353334</v>
      </c>
      <c r="AC145" s="34">
        <v>4.0919999999999996</v>
      </c>
      <c r="AD145" s="34">
        <v>7.6888011440000001</v>
      </c>
      <c r="AE145" s="34">
        <v>32.4758</v>
      </c>
    </row>
    <row r="146" spans="1:31" x14ac:dyDescent="0.3">
      <c r="A146" s="3" t="s">
        <v>171</v>
      </c>
      <c r="B146" s="27">
        <v>1650118</v>
      </c>
      <c r="C146" s="29">
        <v>67290471</v>
      </c>
      <c r="D146" s="29">
        <v>35980</v>
      </c>
      <c r="E146" s="30">
        <v>1242871</v>
      </c>
      <c r="F146" s="30">
        <v>1306796</v>
      </c>
      <c r="G146" s="30">
        <v>4.8</v>
      </c>
      <c r="H146" s="30">
        <v>8.1999999999999993</v>
      </c>
      <c r="I146" s="33">
        <v>4.4000000000000004</v>
      </c>
      <c r="J146" s="33">
        <v>82.730999999999995</v>
      </c>
      <c r="K146" s="33">
        <v>1.86</v>
      </c>
      <c r="L146" s="29">
        <v>8428660</v>
      </c>
      <c r="M146" s="32">
        <v>32.299999999999997</v>
      </c>
      <c r="N146" s="32">
        <v>106.1</v>
      </c>
      <c r="O146" s="32">
        <v>33250</v>
      </c>
      <c r="P146" s="34">
        <v>793436</v>
      </c>
      <c r="Q146" s="34">
        <v>770099</v>
      </c>
      <c r="R146" s="34">
        <v>168726788</v>
      </c>
      <c r="S146" s="34">
        <v>23.4</v>
      </c>
      <c r="T146" s="34">
        <v>42.8</v>
      </c>
      <c r="U146" s="34">
        <v>33.799999999999997</v>
      </c>
      <c r="V146" s="34">
        <v>0.90500000000000003</v>
      </c>
      <c r="W146" s="34">
        <v>15.86798954</v>
      </c>
      <c r="X146" s="34">
        <v>11.610059740000001</v>
      </c>
      <c r="Y146" s="34">
        <v>46907.184650000003</v>
      </c>
      <c r="Z146" s="34">
        <v>0.98799999999999999</v>
      </c>
      <c r="AA146" s="34">
        <v>8.5999999999999993E-2</v>
      </c>
      <c r="AB146" s="34">
        <v>7.7315946279999999</v>
      </c>
      <c r="AC146" s="34">
        <v>9.6620000000000008</v>
      </c>
      <c r="AD146" s="34">
        <v>4.8983055980000003</v>
      </c>
      <c r="AE146" s="34">
        <v>16.647099999999998</v>
      </c>
    </row>
    <row r="147" spans="1:31" x14ac:dyDescent="0.3">
      <c r="A147" s="3" t="s">
        <v>25</v>
      </c>
      <c r="B147" s="27">
        <v>108844</v>
      </c>
      <c r="C147" s="29">
        <v>5451270</v>
      </c>
      <c r="D147" s="29">
        <v>37880</v>
      </c>
      <c r="E147" s="30">
        <v>100938</v>
      </c>
      <c r="F147" s="30">
        <v>112803</v>
      </c>
      <c r="G147" s="30">
        <v>4.2</v>
      </c>
      <c r="H147" s="30">
        <v>9.5</v>
      </c>
      <c r="I147" s="33">
        <v>4.5</v>
      </c>
      <c r="J147" s="33">
        <v>81.013000000000005</v>
      </c>
      <c r="K147" s="33">
        <v>1.71</v>
      </c>
      <c r="L147" s="29">
        <v>297812</v>
      </c>
      <c r="M147" s="32">
        <v>30.2</v>
      </c>
      <c r="N147" s="32">
        <v>18</v>
      </c>
      <c r="O147" s="32">
        <v>34390</v>
      </c>
      <c r="P147" s="34">
        <v>77858</v>
      </c>
      <c r="Q147" s="34">
        <v>75479</v>
      </c>
      <c r="R147" s="34">
        <v>17171931</v>
      </c>
      <c r="S147" s="34">
        <v>20.100000000000001</v>
      </c>
      <c r="T147" s="34">
        <v>45.2</v>
      </c>
      <c r="U147" s="34">
        <v>34.700000000000003</v>
      </c>
      <c r="V147" s="34">
        <v>0.92800000000000005</v>
      </c>
      <c r="W147" s="34">
        <v>19.254249569999999</v>
      </c>
      <c r="X147" s="34">
        <v>12.59953022</v>
      </c>
      <c r="Y147" s="34">
        <v>45421.876799999998</v>
      </c>
      <c r="Z147" s="34">
        <v>0.98899999999999999</v>
      </c>
      <c r="AA147" s="34">
        <v>6.0999999999999999E-2</v>
      </c>
      <c r="AB147" s="34">
        <v>6.8000809430000002</v>
      </c>
      <c r="AC147" s="34">
        <v>7.2539999999999996</v>
      </c>
      <c r="AD147" s="34">
        <v>8.7191290210000005</v>
      </c>
      <c r="AE147" s="34">
        <v>32.645800000000001</v>
      </c>
    </row>
    <row r="148" spans="1:31" x14ac:dyDescent="0.3">
      <c r="A148" s="3" t="s">
        <v>37</v>
      </c>
      <c r="B148" s="27">
        <v>150686</v>
      </c>
      <c r="C148" s="29">
        <v>5107970</v>
      </c>
      <c r="D148" s="29">
        <v>73670</v>
      </c>
      <c r="E148" s="30">
        <v>172632.3</v>
      </c>
      <c r="F148" s="30">
        <v>154218.4</v>
      </c>
      <c r="G148" s="30">
        <v>2.9</v>
      </c>
      <c r="H148" s="30">
        <v>11.7</v>
      </c>
      <c r="I148" s="33">
        <v>4.5999999999999996</v>
      </c>
      <c r="J148" s="33">
        <v>82.085999999999999</v>
      </c>
      <c r="K148" s="33">
        <v>1.75</v>
      </c>
      <c r="L148" s="29">
        <v>704440</v>
      </c>
      <c r="M148" s="32">
        <v>24.2</v>
      </c>
      <c r="N148" s="32">
        <v>16.899999999999999</v>
      </c>
      <c r="O148" s="32">
        <v>67830</v>
      </c>
      <c r="P148" s="34">
        <v>111302.9</v>
      </c>
      <c r="Q148" s="34">
        <v>150351.9</v>
      </c>
      <c r="R148" s="34">
        <v>37603195</v>
      </c>
      <c r="S148" s="34">
        <v>24.6</v>
      </c>
      <c r="T148" s="34">
        <v>39.299999999999997</v>
      </c>
      <c r="U148" s="34">
        <v>36.1</v>
      </c>
      <c r="V148" s="34">
        <v>0.94899999999999995</v>
      </c>
      <c r="W148" s="34">
        <v>17.684440609999999</v>
      </c>
      <c r="X148" s="34">
        <v>12.714260100000001</v>
      </c>
      <c r="Y148" s="34">
        <v>64951.073239999998</v>
      </c>
      <c r="Z148" s="34">
        <v>0.98899999999999999</v>
      </c>
      <c r="AA148" s="34">
        <v>4.3999999999999997E-2</v>
      </c>
      <c r="AB148" s="34">
        <v>2.5823915120000001</v>
      </c>
      <c r="AC148" s="34">
        <v>5.0229999999999997</v>
      </c>
      <c r="AD148" s="34">
        <v>8.7547049650000002</v>
      </c>
      <c r="AE148" s="34">
        <v>31.683900000000001</v>
      </c>
    </row>
    <row r="149" spans="1:31" x14ac:dyDescent="0.3">
      <c r="A149" s="3" t="s">
        <v>54</v>
      </c>
      <c r="B149" s="27">
        <v>118912</v>
      </c>
      <c r="C149" s="29">
        <v>5471753</v>
      </c>
      <c r="D149" s="29">
        <v>38570</v>
      </c>
      <c r="E149" s="30">
        <v>102084</v>
      </c>
      <c r="F149" s="30">
        <v>115144</v>
      </c>
      <c r="G149" s="30">
        <v>4.9000000000000004</v>
      </c>
      <c r="H149" s="30">
        <v>9.1999999999999993</v>
      </c>
      <c r="I149" s="33">
        <v>4.5</v>
      </c>
      <c r="J149" s="33">
        <v>81.418000000000006</v>
      </c>
      <c r="K149" s="33">
        <v>1.65</v>
      </c>
      <c r="L149" s="29">
        <v>314856</v>
      </c>
      <c r="M149" s="32">
        <v>31.3</v>
      </c>
      <c r="N149" s="32">
        <v>18</v>
      </c>
      <c r="O149" s="32">
        <v>34460</v>
      </c>
      <c r="P149" s="34">
        <v>76047</v>
      </c>
      <c r="Q149" s="34">
        <v>74845</v>
      </c>
      <c r="R149" s="34">
        <v>17479246</v>
      </c>
      <c r="S149" s="34">
        <v>19.2</v>
      </c>
      <c r="T149" s="34">
        <v>45.3</v>
      </c>
      <c r="U149" s="34">
        <v>35.5</v>
      </c>
      <c r="V149" s="34">
        <v>0.93</v>
      </c>
      <c r="W149" s="34">
        <v>19.310869220000001</v>
      </c>
      <c r="X149" s="34">
        <v>12.63366985</v>
      </c>
      <c r="Y149" s="34">
        <v>45515.943480000002</v>
      </c>
      <c r="Z149" s="34">
        <v>0.98899999999999999</v>
      </c>
      <c r="AA149" s="34">
        <v>5.3999999999999999E-2</v>
      </c>
      <c r="AB149" s="34">
        <v>7.2605595110000003</v>
      </c>
      <c r="AC149" s="34">
        <v>6.282</v>
      </c>
      <c r="AD149" s="34">
        <v>8.0639318360000001</v>
      </c>
      <c r="AE149" s="34">
        <v>30.6905</v>
      </c>
    </row>
    <row r="150" spans="1:31" x14ac:dyDescent="0.3">
      <c r="A150" s="3" t="s">
        <v>68</v>
      </c>
      <c r="B150" s="27">
        <v>207330</v>
      </c>
      <c r="C150" s="29">
        <v>10374822</v>
      </c>
      <c r="D150" s="29">
        <v>17350</v>
      </c>
      <c r="E150" s="30">
        <v>78406.3</v>
      </c>
      <c r="F150" s="30">
        <v>117810.3</v>
      </c>
      <c r="G150" s="30">
        <v>5.7</v>
      </c>
      <c r="H150" s="30">
        <v>13.7</v>
      </c>
      <c r="I150" s="33">
        <v>3.1</v>
      </c>
      <c r="J150" s="33">
        <v>81.209000000000003</v>
      </c>
      <c r="K150" s="33">
        <v>1.31</v>
      </c>
      <c r="L150" s="29">
        <v>864814</v>
      </c>
      <c r="M150" s="32">
        <v>31.1</v>
      </c>
      <c r="N150" s="32">
        <v>112.3</v>
      </c>
      <c r="O150" s="32">
        <v>16620</v>
      </c>
      <c r="P150" s="34">
        <v>71662</v>
      </c>
      <c r="Q150" s="34">
        <v>72990.7</v>
      </c>
      <c r="R150" s="34">
        <v>36005814</v>
      </c>
      <c r="S150" s="34">
        <v>54.4</v>
      </c>
      <c r="T150" s="34">
        <v>24.9</v>
      </c>
      <c r="U150" s="34">
        <v>20.7</v>
      </c>
      <c r="V150" s="34">
        <v>0.85</v>
      </c>
      <c r="W150" s="34">
        <v>16.384599690000002</v>
      </c>
      <c r="X150" s="34">
        <v>8.9867296220000004</v>
      </c>
      <c r="Y150" s="34">
        <v>30286.361389999998</v>
      </c>
      <c r="Z150" s="34">
        <v>0.98899999999999999</v>
      </c>
      <c r="AA150" s="34">
        <v>8.2000000000000003E-2</v>
      </c>
      <c r="AB150" s="34">
        <v>10.403705199999999</v>
      </c>
      <c r="AC150" s="34">
        <v>8.2390000000000008</v>
      </c>
      <c r="AD150" s="34">
        <v>5.0362961129999997</v>
      </c>
      <c r="AE150" s="34">
        <v>10.991300000000001</v>
      </c>
    </row>
    <row r="151" spans="1:31" x14ac:dyDescent="0.3">
      <c r="A151" s="3" t="s">
        <v>97</v>
      </c>
      <c r="B151" s="27">
        <v>222129</v>
      </c>
      <c r="C151" s="29">
        <v>10341330</v>
      </c>
      <c r="D151" s="29">
        <v>18060</v>
      </c>
      <c r="E151" s="30">
        <v>81213.5</v>
      </c>
      <c r="F151" s="30">
        <v>122024.4</v>
      </c>
      <c r="G151" s="30">
        <v>5.5</v>
      </c>
      <c r="H151" s="30">
        <v>14</v>
      </c>
      <c r="I151" s="33">
        <v>3.1</v>
      </c>
      <c r="J151" s="33">
        <v>81.231999999999999</v>
      </c>
      <c r="K151" s="33">
        <v>1.36</v>
      </c>
      <c r="L151" s="29">
        <v>872501</v>
      </c>
      <c r="M151" s="32">
        <v>31.8</v>
      </c>
      <c r="N151" s="32">
        <v>113.5</v>
      </c>
      <c r="O151" s="32">
        <v>17010</v>
      </c>
      <c r="P151" s="34">
        <v>72849.3</v>
      </c>
      <c r="Q151" s="34">
        <v>74989.100000000006</v>
      </c>
      <c r="R151" s="34">
        <v>40930044</v>
      </c>
      <c r="S151" s="34">
        <v>52.9</v>
      </c>
      <c r="T151" s="34">
        <v>25.6</v>
      </c>
      <c r="U151" s="34">
        <v>21.5</v>
      </c>
      <c r="V151" s="34">
        <v>0.85099999999999998</v>
      </c>
      <c r="W151" s="34">
        <v>16.267539979999999</v>
      </c>
      <c r="X151" s="34">
        <v>9.1125802989999993</v>
      </c>
      <c r="Y151" s="34">
        <v>31071.399290000001</v>
      </c>
      <c r="Z151" s="34">
        <v>0.98899999999999999</v>
      </c>
      <c r="AA151" s="34">
        <v>8.1000000000000003E-2</v>
      </c>
      <c r="AB151" s="34">
        <v>10.547099559999999</v>
      </c>
      <c r="AC151" s="34">
        <v>7.8979999999999997</v>
      </c>
      <c r="AD151" s="34">
        <v>4.8744705310000001</v>
      </c>
      <c r="AE151" s="34">
        <v>12.4024</v>
      </c>
    </row>
    <row r="152" spans="1:31" x14ac:dyDescent="0.3">
      <c r="A152" s="3" t="s">
        <v>137</v>
      </c>
      <c r="B152" s="27">
        <v>62938</v>
      </c>
      <c r="C152" s="29">
        <v>4105493</v>
      </c>
      <c r="D152" s="29">
        <v>12930</v>
      </c>
      <c r="E152" s="30">
        <v>24365.7</v>
      </c>
      <c r="F152" s="30">
        <v>30070.5</v>
      </c>
      <c r="G152" s="30">
        <v>7.7</v>
      </c>
      <c r="H152" s="30">
        <v>3.3</v>
      </c>
      <c r="I152" s="33">
        <v>4.4000000000000004</v>
      </c>
      <c r="J152" s="33">
        <v>78.337000000000003</v>
      </c>
      <c r="K152" s="33">
        <v>1.47</v>
      </c>
      <c r="L152" s="29">
        <v>528982</v>
      </c>
      <c r="M152" s="32">
        <v>30.7</v>
      </c>
      <c r="N152" s="32">
        <v>73.2</v>
      </c>
      <c r="O152" s="32">
        <v>12250</v>
      </c>
      <c r="P152" s="34">
        <v>26495.8</v>
      </c>
      <c r="Q152" s="34">
        <v>26045.3</v>
      </c>
      <c r="R152" s="34">
        <v>9731294</v>
      </c>
      <c r="S152" s="34">
        <v>18.7</v>
      </c>
      <c r="T152" s="34">
        <v>59.3</v>
      </c>
      <c r="U152" s="34">
        <v>22</v>
      </c>
      <c r="V152" s="34">
        <v>0.86</v>
      </c>
      <c r="W152" s="34">
        <v>15.45802975</v>
      </c>
      <c r="X152" s="34">
        <v>12.05498697</v>
      </c>
      <c r="Y152" s="34">
        <v>28102.100579999998</v>
      </c>
      <c r="Z152" s="34">
        <v>0.98899999999999999</v>
      </c>
      <c r="AA152" s="34">
        <v>0.124</v>
      </c>
      <c r="AB152" s="34">
        <v>4.8907429960000002</v>
      </c>
      <c r="AC152" s="34">
        <v>9.0410000000000004</v>
      </c>
      <c r="AD152" s="34">
        <v>4.2601283260000002</v>
      </c>
      <c r="AE152" s="34">
        <v>14.3225</v>
      </c>
    </row>
    <row r="153" spans="1:31" x14ac:dyDescent="0.3">
      <c r="A153" s="3" t="s">
        <v>180</v>
      </c>
      <c r="B153" s="27">
        <v>45104</v>
      </c>
      <c r="C153" s="29">
        <v>613894</v>
      </c>
      <c r="D153" s="29">
        <v>100450</v>
      </c>
      <c r="E153" s="30">
        <v>31337.1</v>
      </c>
      <c r="F153" s="30">
        <v>20972.7</v>
      </c>
      <c r="G153" s="30">
        <v>3.5</v>
      </c>
      <c r="H153" s="30">
        <v>7.2</v>
      </c>
      <c r="I153" s="33">
        <v>4.4000000000000004</v>
      </c>
      <c r="J153" s="33">
        <v>82.143000000000001</v>
      </c>
      <c r="K153" s="33">
        <v>1.34</v>
      </c>
      <c r="L153" s="29">
        <v>290644</v>
      </c>
      <c r="M153" s="32">
        <v>20.7</v>
      </c>
      <c r="N153" s="32">
        <v>239.8</v>
      </c>
      <c r="O153" s="32">
        <v>84070</v>
      </c>
      <c r="P153" s="34">
        <v>109840</v>
      </c>
      <c r="Q153" s="34">
        <v>128865.9</v>
      </c>
      <c r="R153" s="34">
        <v>4365569</v>
      </c>
      <c r="S153" s="34">
        <v>26.7</v>
      </c>
      <c r="T153" s="34">
        <v>32.299999999999997</v>
      </c>
      <c r="U153" s="34">
        <v>41</v>
      </c>
      <c r="V153" s="34">
        <v>0.92500000000000004</v>
      </c>
      <c r="W153" s="34">
        <v>14.18776035</v>
      </c>
      <c r="X153" s="34">
        <v>13.015192170000001</v>
      </c>
      <c r="Y153" s="34">
        <v>77422.852830000003</v>
      </c>
      <c r="Z153" s="34">
        <v>0.98899999999999999</v>
      </c>
      <c r="AA153" s="34">
        <v>5.8999999999999997E-2</v>
      </c>
      <c r="AB153" s="34">
        <v>6.4136601430000004</v>
      </c>
      <c r="AC153" s="34">
        <v>4.306</v>
      </c>
      <c r="AD153" s="34">
        <v>15.75810559</v>
      </c>
      <c r="AE153" s="34">
        <v>46.084000000000003</v>
      </c>
    </row>
    <row r="154" spans="1:31" x14ac:dyDescent="0.3">
      <c r="A154" s="3" t="s">
        <v>224</v>
      </c>
      <c r="B154" s="27">
        <v>219198</v>
      </c>
      <c r="C154" s="29">
        <v>10494836</v>
      </c>
      <c r="D154" s="29">
        <v>22270</v>
      </c>
      <c r="E154" s="30">
        <v>108686</v>
      </c>
      <c r="F154" s="30">
        <v>108100.9</v>
      </c>
      <c r="G154" s="30">
        <v>5.0999999999999996</v>
      </c>
      <c r="H154" s="30">
        <v>6.4</v>
      </c>
      <c r="I154" s="33">
        <v>4.5</v>
      </c>
      <c r="J154" s="33">
        <v>77.727999999999994</v>
      </c>
      <c r="K154" s="33">
        <v>1.83</v>
      </c>
      <c r="L154" s="29">
        <v>409220</v>
      </c>
      <c r="M154" s="32">
        <v>32.299999999999997</v>
      </c>
      <c r="N154" s="32">
        <v>138.6</v>
      </c>
      <c r="O154" s="32">
        <v>18020</v>
      </c>
      <c r="P154" s="34">
        <v>166219</v>
      </c>
      <c r="Q154" s="34">
        <v>173274.6</v>
      </c>
      <c r="R154" s="34">
        <v>4755160</v>
      </c>
      <c r="S154" s="34">
        <v>12</v>
      </c>
      <c r="T154" s="34">
        <v>64.5</v>
      </c>
      <c r="U154" s="34">
        <v>23.4</v>
      </c>
      <c r="V154" s="34">
        <v>0.89100000000000001</v>
      </c>
      <c r="W154" s="34">
        <v>16.3472805</v>
      </c>
      <c r="X154" s="34">
        <v>12.916053420000001</v>
      </c>
      <c r="Y154" s="34">
        <v>39060.604610000002</v>
      </c>
      <c r="Z154" s="34">
        <v>0.98899999999999999</v>
      </c>
      <c r="AA154" s="34">
        <v>0.11899999999999999</v>
      </c>
      <c r="AB154" s="34">
        <v>3.3740163440000002</v>
      </c>
      <c r="AC154" s="34">
        <v>9.7089999999999996</v>
      </c>
      <c r="AD154" s="34">
        <v>9.1967928840000006</v>
      </c>
      <c r="AE154" s="34">
        <v>18.322199999999999</v>
      </c>
    </row>
    <row r="155" spans="1:31" x14ac:dyDescent="0.3">
      <c r="A155" s="3" t="s">
        <v>227</v>
      </c>
      <c r="B155" s="27">
        <v>96648</v>
      </c>
      <c r="C155" s="29">
        <v>5533793</v>
      </c>
      <c r="D155" s="29">
        <v>45230</v>
      </c>
      <c r="E155" s="30">
        <v>117796</v>
      </c>
      <c r="F155" s="30">
        <v>128501</v>
      </c>
      <c r="G155" s="30">
        <v>4.0999999999999996</v>
      </c>
      <c r="H155" s="30">
        <v>8.1999999999999993</v>
      </c>
      <c r="I155" s="33">
        <v>3.5</v>
      </c>
      <c r="J155" s="33">
        <v>82.037999999999997</v>
      </c>
      <c r="K155" s="33">
        <v>1.46</v>
      </c>
      <c r="L155" s="29">
        <v>408676</v>
      </c>
      <c r="M155" s="32">
        <v>36.799999999999997</v>
      </c>
      <c r="N155" s="32">
        <v>18.2</v>
      </c>
      <c r="O155" s="32">
        <v>37170</v>
      </c>
      <c r="P155" s="34">
        <v>98872</v>
      </c>
      <c r="Q155" s="34">
        <v>98956</v>
      </c>
      <c r="R155" s="34">
        <v>4554497</v>
      </c>
      <c r="S155" s="34">
        <v>18.2</v>
      </c>
      <c r="T155" s="34">
        <v>46.3</v>
      </c>
      <c r="U155" s="34">
        <v>35.5</v>
      </c>
      <c r="V155" s="34">
        <v>0.94099999999999995</v>
      </c>
      <c r="W155" s="34">
        <v>19.228590010000001</v>
      </c>
      <c r="X155" s="34">
        <v>12.929155010000001</v>
      </c>
      <c r="Y155" s="34">
        <v>49480.528259999999</v>
      </c>
      <c r="Z155" s="34">
        <v>0.98899999999999999</v>
      </c>
      <c r="AA155" s="34">
        <v>3.3000000000000002E-2</v>
      </c>
      <c r="AB155" s="34">
        <v>8.3389016560000009</v>
      </c>
      <c r="AC155" s="34">
        <v>4.1589999999999998</v>
      </c>
      <c r="AD155" s="34">
        <v>6.8545980560000004</v>
      </c>
      <c r="AE155" s="34">
        <v>33.474400000000003</v>
      </c>
    </row>
    <row r="156" spans="1:31" x14ac:dyDescent="0.3">
      <c r="A156" s="3" t="s">
        <v>231</v>
      </c>
      <c r="B156" s="27">
        <v>135572</v>
      </c>
      <c r="C156" s="29">
        <v>9730772</v>
      </c>
      <c r="D156" s="29">
        <v>15860</v>
      </c>
      <c r="E156" s="30">
        <v>61297.2</v>
      </c>
      <c r="F156" s="30">
        <v>74328.899999999994</v>
      </c>
      <c r="G156" s="30">
        <v>5.6</v>
      </c>
      <c r="H156" s="30">
        <v>12</v>
      </c>
      <c r="I156" s="33">
        <v>7.4</v>
      </c>
      <c r="J156" s="33">
        <v>74.53</v>
      </c>
      <c r="K156" s="33">
        <v>1.61</v>
      </c>
      <c r="L156" s="29">
        <v>597440</v>
      </c>
      <c r="M156" s="32">
        <v>31.2</v>
      </c>
      <c r="N156" s="32">
        <v>106.9</v>
      </c>
      <c r="O156" s="32">
        <v>13690</v>
      </c>
      <c r="P156" s="34">
        <v>122794.8</v>
      </c>
      <c r="Q156" s="34">
        <v>123093.5</v>
      </c>
      <c r="R156" s="34">
        <v>4665369</v>
      </c>
      <c r="S156" s="34">
        <v>19.2</v>
      </c>
      <c r="T156" s="34">
        <v>55.4</v>
      </c>
      <c r="U156" s="34">
        <v>25.4</v>
      </c>
      <c r="V156" s="34">
        <v>0.84599999999999997</v>
      </c>
      <c r="W156" s="34">
        <v>15.073300359999999</v>
      </c>
      <c r="X156" s="34">
        <v>12.24958992</v>
      </c>
      <c r="Y156" s="34">
        <v>32609.771799999999</v>
      </c>
      <c r="Z156" s="34">
        <v>0.98899999999999999</v>
      </c>
      <c r="AA156" s="34">
        <v>0.23599999999999999</v>
      </c>
      <c r="AB156" s="34">
        <v>15.04888628</v>
      </c>
      <c r="AC156" s="34">
        <v>22.148</v>
      </c>
      <c r="AD156" s="34">
        <v>5.0015417439999998</v>
      </c>
      <c r="AE156" s="34">
        <v>17.669599999999999</v>
      </c>
    </row>
    <row r="157" spans="1:31" x14ac:dyDescent="0.3">
      <c r="A157" s="3" t="s">
        <v>44</v>
      </c>
      <c r="B157" s="27">
        <v>345108</v>
      </c>
      <c r="C157" s="29">
        <v>9644864</v>
      </c>
      <c r="D157" s="29">
        <v>45260</v>
      </c>
      <c r="E157" s="30">
        <v>209281.2</v>
      </c>
      <c r="F157" s="30">
        <v>205430.2</v>
      </c>
      <c r="G157" s="30">
        <v>2.8</v>
      </c>
      <c r="H157" s="30">
        <v>6.7</v>
      </c>
      <c r="I157" s="33">
        <v>5.5</v>
      </c>
      <c r="J157" s="33">
        <v>82.222999999999999</v>
      </c>
      <c r="K157" s="33">
        <v>1.88</v>
      </c>
      <c r="L157" s="29">
        <v>1532563</v>
      </c>
      <c r="M157" s="32">
        <v>30.6</v>
      </c>
      <c r="N157" s="32">
        <v>23.8</v>
      </c>
      <c r="O157" s="32">
        <v>41180</v>
      </c>
      <c r="P157" s="34">
        <v>174073.9</v>
      </c>
      <c r="Q157" s="34">
        <v>189866.6</v>
      </c>
      <c r="R157" s="34">
        <v>32766043</v>
      </c>
      <c r="S157" s="34">
        <v>22.1</v>
      </c>
      <c r="T157" s="34">
        <v>45</v>
      </c>
      <c r="U157" s="34">
        <v>32.799999999999997</v>
      </c>
      <c r="V157" s="34">
        <v>0.93500000000000005</v>
      </c>
      <c r="W157" s="34">
        <v>18.09351921</v>
      </c>
      <c r="X157" s="34">
        <v>12.29454041</v>
      </c>
      <c r="Y157" s="34">
        <v>50298.41805</v>
      </c>
      <c r="Z157" s="34">
        <v>0.99</v>
      </c>
      <c r="AA157" s="34">
        <v>4.2999999999999997E-2</v>
      </c>
      <c r="AB157" s="34">
        <v>4.7789360209999998</v>
      </c>
      <c r="AC157" s="34">
        <v>5.37</v>
      </c>
      <c r="AD157" s="34">
        <v>4.4599501740000003</v>
      </c>
      <c r="AE157" s="34">
        <v>24.495699999999999</v>
      </c>
    </row>
    <row r="158" spans="1:31" x14ac:dyDescent="0.3">
      <c r="A158" s="3" t="s">
        <v>83</v>
      </c>
      <c r="B158" s="27">
        <v>118529</v>
      </c>
      <c r="C158" s="29">
        <v>5487308</v>
      </c>
      <c r="D158" s="29">
        <v>39580</v>
      </c>
      <c r="E158" s="30">
        <v>103757</v>
      </c>
      <c r="F158" s="30">
        <v>118181</v>
      </c>
      <c r="G158" s="30">
        <v>4.7</v>
      </c>
      <c r="H158" s="30">
        <v>7.9</v>
      </c>
      <c r="I158" s="33">
        <v>4.5</v>
      </c>
      <c r="J158" s="33">
        <v>81.290999999999997</v>
      </c>
      <c r="K158" s="33">
        <v>1.57</v>
      </c>
      <c r="L158" s="29">
        <v>329219</v>
      </c>
      <c r="M158" s="32">
        <v>32.4</v>
      </c>
      <c r="N158" s="32">
        <v>18.100000000000001</v>
      </c>
      <c r="O158" s="32">
        <v>35330</v>
      </c>
      <c r="P158" s="34">
        <v>78498</v>
      </c>
      <c r="Q158" s="34">
        <v>75719</v>
      </c>
      <c r="R158" s="34">
        <v>18099954</v>
      </c>
      <c r="S158" s="34">
        <v>18.600000000000001</v>
      </c>
      <c r="T158" s="34">
        <v>45.5</v>
      </c>
      <c r="U158" s="34">
        <v>35.9</v>
      </c>
      <c r="V158" s="34">
        <v>0.93100000000000005</v>
      </c>
      <c r="W158" s="34">
        <v>19.31080055</v>
      </c>
      <c r="X158" s="34">
        <v>12.68652487</v>
      </c>
      <c r="Y158" s="34">
        <v>46417.018929999998</v>
      </c>
      <c r="Z158" s="34">
        <v>0.99</v>
      </c>
      <c r="AA158" s="34">
        <v>4.8000000000000001E-2</v>
      </c>
      <c r="AB158" s="34">
        <v>7.8138950149999999</v>
      </c>
      <c r="AC158" s="34">
        <v>5.5039999999999996</v>
      </c>
      <c r="AD158" s="34">
        <v>8.5980194779999994</v>
      </c>
      <c r="AE158" s="34">
        <v>35.092100000000002</v>
      </c>
    </row>
    <row r="159" spans="1:31" x14ac:dyDescent="0.3">
      <c r="A159" s="3" t="s">
        <v>112</v>
      </c>
      <c r="B159" s="27">
        <v>120480</v>
      </c>
      <c r="C159" s="29">
        <v>5503297</v>
      </c>
      <c r="D159" s="29">
        <v>41080</v>
      </c>
      <c r="E159" s="30">
        <v>104558</v>
      </c>
      <c r="F159" s="30">
        <v>120301</v>
      </c>
      <c r="G159" s="30">
        <v>4.3</v>
      </c>
      <c r="H159" s="30">
        <v>8.1999999999999993</v>
      </c>
      <c r="I159" s="33">
        <v>4.8</v>
      </c>
      <c r="J159" s="33">
        <v>81.498000000000005</v>
      </c>
      <c r="K159" s="33">
        <v>1.49</v>
      </c>
      <c r="L159" s="29">
        <v>348986</v>
      </c>
      <c r="M159" s="32">
        <v>33.200000000000003</v>
      </c>
      <c r="N159" s="32">
        <v>18.100000000000001</v>
      </c>
      <c r="O159" s="32">
        <v>36380</v>
      </c>
      <c r="P159" s="34">
        <v>84871</v>
      </c>
      <c r="Q159" s="34">
        <v>84975</v>
      </c>
      <c r="R159" s="34">
        <v>20054947</v>
      </c>
      <c r="S159" s="34">
        <v>18.399999999999999</v>
      </c>
      <c r="T159" s="34">
        <v>45.2</v>
      </c>
      <c r="U159" s="34">
        <v>36.4</v>
      </c>
      <c r="V159" s="34">
        <v>0.93400000000000005</v>
      </c>
      <c r="W159" s="34">
        <v>19.37471008</v>
      </c>
      <c r="X159" s="34">
        <v>12.73937988</v>
      </c>
      <c r="Y159" s="34">
        <v>47593.887009999999</v>
      </c>
      <c r="Z159" s="34">
        <v>0.99</v>
      </c>
      <c r="AA159" s="34">
        <v>4.2000000000000003E-2</v>
      </c>
      <c r="AB159" s="34">
        <v>7.2902029229999998</v>
      </c>
      <c r="AC159" s="34">
        <v>4.8559999999999999</v>
      </c>
      <c r="AD159" s="34">
        <v>8.1069108629999995</v>
      </c>
      <c r="AE159" s="34">
        <v>33.295400000000001</v>
      </c>
    </row>
    <row r="160" spans="1:31" x14ac:dyDescent="0.3">
      <c r="A160" s="3" t="s">
        <v>126</v>
      </c>
      <c r="B160" s="27">
        <v>228327</v>
      </c>
      <c r="C160" s="29">
        <v>10309573</v>
      </c>
      <c r="D160" s="29">
        <v>19020</v>
      </c>
      <c r="E160" s="30">
        <v>86097.3</v>
      </c>
      <c r="F160" s="30">
        <v>126541</v>
      </c>
      <c r="G160" s="30">
        <v>5.8</v>
      </c>
      <c r="H160" s="30">
        <v>12.6</v>
      </c>
      <c r="I160" s="33">
        <v>3.3</v>
      </c>
      <c r="J160" s="33">
        <v>81.498000000000005</v>
      </c>
      <c r="K160" s="33">
        <v>1.38</v>
      </c>
      <c r="L160" s="29">
        <v>876300</v>
      </c>
      <c r="M160" s="32">
        <v>32.5</v>
      </c>
      <c r="N160" s="32">
        <v>113.2</v>
      </c>
      <c r="O160" s="32">
        <v>17650</v>
      </c>
      <c r="P160" s="34">
        <v>81739.100000000006</v>
      </c>
      <c r="Q160" s="34">
        <v>83717</v>
      </c>
      <c r="R160" s="34">
        <v>47673057</v>
      </c>
      <c r="S160" s="34">
        <v>51.7</v>
      </c>
      <c r="T160" s="34">
        <v>26.6</v>
      </c>
      <c r="U160" s="34">
        <v>21.7</v>
      </c>
      <c r="V160" s="34">
        <v>0.85699999999999998</v>
      </c>
      <c r="W160" s="34">
        <v>16.362199780000001</v>
      </c>
      <c r="X160" s="34">
        <v>9.2182302469999993</v>
      </c>
      <c r="Y160" s="34">
        <v>32269.041550000002</v>
      </c>
      <c r="Z160" s="34">
        <v>0.99</v>
      </c>
      <c r="AA160" s="34">
        <v>8.4000000000000005E-2</v>
      </c>
      <c r="AB160" s="34">
        <v>11.166256069999999</v>
      </c>
      <c r="AC160" s="34">
        <v>7.8470000000000004</v>
      </c>
      <c r="AD160" s="34">
        <v>5.3462177649999996</v>
      </c>
      <c r="AE160" s="34">
        <v>12.157999999999999</v>
      </c>
    </row>
    <row r="161" spans="1:31" x14ac:dyDescent="0.3">
      <c r="A161" s="3" t="s">
        <v>166</v>
      </c>
      <c r="B161" s="27">
        <v>36084</v>
      </c>
      <c r="C161" s="29">
        <v>4076246</v>
      </c>
      <c r="D161" s="29">
        <v>13710</v>
      </c>
      <c r="E161" s="30">
        <v>25193.4</v>
      </c>
      <c r="F161" s="30">
        <v>31647.3</v>
      </c>
      <c r="G161" s="30">
        <v>7.3</v>
      </c>
      <c r="H161" s="30">
        <v>3</v>
      </c>
      <c r="I161" s="33">
        <v>4.4000000000000004</v>
      </c>
      <c r="J161" s="33">
        <v>78.738</v>
      </c>
      <c r="K161" s="33">
        <v>1.47</v>
      </c>
      <c r="L161" s="29">
        <v>527308</v>
      </c>
      <c r="M161" s="32">
        <v>31.6</v>
      </c>
      <c r="N161" s="32">
        <v>72.8</v>
      </c>
      <c r="O161" s="32">
        <v>12740</v>
      </c>
      <c r="P161" s="34">
        <v>28382.2</v>
      </c>
      <c r="Q161" s="34">
        <v>28157.1</v>
      </c>
      <c r="R161" s="34">
        <v>10623239</v>
      </c>
      <c r="S161" s="34">
        <v>18.100000000000001</v>
      </c>
      <c r="T161" s="34">
        <v>59.9</v>
      </c>
      <c r="U161" s="34">
        <v>22</v>
      </c>
      <c r="V161" s="34">
        <v>0.86599999999999999</v>
      </c>
      <c r="W161" s="34">
        <v>15.462420460000001</v>
      </c>
      <c r="X161" s="34">
        <v>12.19108434</v>
      </c>
      <c r="Y161" s="34">
        <v>29373.032190000002</v>
      </c>
      <c r="Z161" s="34">
        <v>0.99</v>
      </c>
      <c r="AA161" s="34">
        <v>0.11899999999999999</v>
      </c>
      <c r="AB161" s="34">
        <v>4.5328746280000001</v>
      </c>
      <c r="AC161" s="34">
        <v>9.0619999999999994</v>
      </c>
      <c r="AD161" s="34">
        <v>4.32408532</v>
      </c>
      <c r="AE161" s="34">
        <v>13.1058</v>
      </c>
    </row>
    <row r="162" spans="1:31" x14ac:dyDescent="0.3">
      <c r="A162" s="3" t="s">
        <v>199</v>
      </c>
      <c r="B162" s="27">
        <v>98502</v>
      </c>
      <c r="C162" s="29">
        <v>5525292</v>
      </c>
      <c r="D162" s="29">
        <v>43040</v>
      </c>
      <c r="E162" s="30">
        <v>110527</v>
      </c>
      <c r="F162" s="30">
        <v>121754</v>
      </c>
      <c r="G162" s="30">
        <v>4</v>
      </c>
      <c r="H162" s="30">
        <v>8.1999999999999993</v>
      </c>
      <c r="I162" s="33">
        <v>4</v>
      </c>
      <c r="J162" s="33">
        <v>81.866</v>
      </c>
      <c r="K162" s="33">
        <v>1.37</v>
      </c>
      <c r="L162" s="29">
        <v>393555</v>
      </c>
      <c r="M162" s="32">
        <v>36</v>
      </c>
      <c r="N162" s="32">
        <v>18.100000000000001</v>
      </c>
      <c r="O162" s="32">
        <v>36220</v>
      </c>
      <c r="P162" s="34">
        <v>85006</v>
      </c>
      <c r="Q162" s="34">
        <v>85188</v>
      </c>
      <c r="R162" s="34">
        <v>5428622</v>
      </c>
      <c r="S162" s="34">
        <v>15.9</v>
      </c>
      <c r="T162" s="34">
        <v>44.2</v>
      </c>
      <c r="U162" s="34">
        <v>39.799999999999997</v>
      </c>
      <c r="V162" s="34">
        <v>0.93899999999999995</v>
      </c>
      <c r="W162" s="34">
        <v>19.048580170000001</v>
      </c>
      <c r="X162" s="34">
        <v>12.929155010000001</v>
      </c>
      <c r="Y162" s="34">
        <v>48175.683109999998</v>
      </c>
      <c r="Z162" s="34">
        <v>0.99</v>
      </c>
      <c r="AA162" s="34">
        <v>3.2000000000000001E-2</v>
      </c>
      <c r="AB162" s="34">
        <v>8.3389016560000009</v>
      </c>
      <c r="AC162" s="34">
        <v>4.0919999999999996</v>
      </c>
      <c r="AD162" s="34">
        <v>6.8243454889999997</v>
      </c>
      <c r="AE162" s="34">
        <v>32.740400000000001</v>
      </c>
    </row>
    <row r="163" spans="1:31" x14ac:dyDescent="0.3">
      <c r="A163" s="3" t="s">
        <v>200</v>
      </c>
      <c r="B163" s="27">
        <v>1659004</v>
      </c>
      <c r="C163" s="29">
        <v>67485531</v>
      </c>
      <c r="D163" s="29">
        <v>34080</v>
      </c>
      <c r="E163" s="30">
        <v>1195090</v>
      </c>
      <c r="F163" s="30">
        <v>1233005</v>
      </c>
      <c r="G163" s="30">
        <v>3.8</v>
      </c>
      <c r="H163" s="30">
        <v>8</v>
      </c>
      <c r="I163" s="33">
        <v>2.2999999999999998</v>
      </c>
      <c r="J163" s="33">
        <v>82.21</v>
      </c>
      <c r="K163" s="33">
        <v>1.83</v>
      </c>
      <c r="L163" s="29">
        <v>8521829</v>
      </c>
      <c r="M163" s="32">
        <v>33.1</v>
      </c>
      <c r="N163" s="32">
        <v>106.3</v>
      </c>
      <c r="O163" s="32">
        <v>30630</v>
      </c>
      <c r="P163" s="34">
        <v>682704</v>
      </c>
      <c r="Q163" s="34">
        <v>633411</v>
      </c>
      <c r="R163" s="34">
        <v>50724011</v>
      </c>
      <c r="S163" s="34">
        <v>22.3</v>
      </c>
      <c r="T163" s="34">
        <v>42.4</v>
      </c>
      <c r="U163" s="34">
        <v>35.299999999999997</v>
      </c>
      <c r="V163" s="34">
        <v>0.9</v>
      </c>
      <c r="W163" s="34">
        <v>15.9334898</v>
      </c>
      <c r="X163" s="34">
        <v>11.688592460000001</v>
      </c>
      <c r="Y163" s="34">
        <v>42890.702010000001</v>
      </c>
      <c r="Z163" s="34">
        <v>0.99</v>
      </c>
      <c r="AA163" s="34">
        <v>8.4000000000000005E-2</v>
      </c>
      <c r="AB163" s="34">
        <v>7.9090786360000003</v>
      </c>
      <c r="AC163" s="34">
        <v>9.407</v>
      </c>
      <c r="AD163" s="34">
        <v>4.3662960389999999</v>
      </c>
      <c r="AE163" s="34">
        <v>16.728300000000001</v>
      </c>
    </row>
    <row r="164" spans="1:31" x14ac:dyDescent="0.3">
      <c r="A164" s="3" t="s">
        <v>209</v>
      </c>
      <c r="B164" s="27">
        <v>44366</v>
      </c>
      <c r="C164" s="29">
        <v>626108</v>
      </c>
      <c r="D164" s="29">
        <v>102230</v>
      </c>
      <c r="E164" s="30">
        <v>32254.5</v>
      </c>
      <c r="F164" s="30">
        <v>19494.8</v>
      </c>
      <c r="G164" s="30">
        <v>4.0999999999999996</v>
      </c>
      <c r="H164" s="30">
        <v>8.1999999999999993</v>
      </c>
      <c r="I164" s="33">
        <v>2.9</v>
      </c>
      <c r="J164" s="33">
        <v>81.433000000000007</v>
      </c>
      <c r="K164" s="33">
        <v>1.36</v>
      </c>
      <c r="L164" s="29">
        <v>301688</v>
      </c>
      <c r="M164" s="32">
        <v>20.9</v>
      </c>
      <c r="N164" s="32">
        <v>239.8</v>
      </c>
      <c r="O164" s="32">
        <v>82030</v>
      </c>
      <c r="P164" s="34">
        <v>109143.5</v>
      </c>
      <c r="Q164" s="34">
        <v>131061.9</v>
      </c>
      <c r="R164" s="34">
        <v>1426310</v>
      </c>
      <c r="S164" s="34">
        <v>27.2</v>
      </c>
      <c r="T164" s="34">
        <v>31.9</v>
      </c>
      <c r="U164" s="34">
        <v>40.9</v>
      </c>
      <c r="V164" s="34">
        <v>0.92100000000000004</v>
      </c>
      <c r="W164" s="34">
        <v>14.199410439999999</v>
      </c>
      <c r="X164" s="34">
        <v>12.9600811</v>
      </c>
      <c r="Y164" s="34">
        <v>76503.964749999999</v>
      </c>
      <c r="Z164" s="34">
        <v>0.99</v>
      </c>
      <c r="AA164" s="34">
        <v>4.8000000000000001E-2</v>
      </c>
      <c r="AB164" s="34">
        <v>6.4855001420000002</v>
      </c>
      <c r="AC164" s="34">
        <v>4.298</v>
      </c>
      <c r="AD164" s="34">
        <v>12.797767759999999</v>
      </c>
      <c r="AE164" s="34">
        <v>44.704700000000003</v>
      </c>
    </row>
    <row r="165" spans="1:31" x14ac:dyDescent="0.3">
      <c r="A165" s="3" t="s">
        <v>122</v>
      </c>
      <c r="B165" s="27">
        <v>52786</v>
      </c>
      <c r="C165" s="29">
        <v>590667</v>
      </c>
      <c r="D165" s="29">
        <v>97440</v>
      </c>
      <c r="E165" s="30">
        <v>27765.5</v>
      </c>
      <c r="F165" s="30">
        <v>19306.2</v>
      </c>
      <c r="G165" s="30">
        <v>4.2</v>
      </c>
      <c r="H165" s="30">
        <v>7.3</v>
      </c>
      <c r="I165" s="33">
        <v>3.2</v>
      </c>
      <c r="J165" s="33">
        <v>81.733999999999995</v>
      </c>
      <c r="K165" s="33">
        <v>1.39</v>
      </c>
      <c r="L165" s="29">
        <v>270010</v>
      </c>
      <c r="M165" s="32">
        <v>20.5</v>
      </c>
      <c r="N165" s="32">
        <v>230.6</v>
      </c>
      <c r="O165" s="32">
        <v>84020</v>
      </c>
      <c r="P165" s="34">
        <v>93678.8</v>
      </c>
      <c r="Q165" s="34">
        <v>112118.9</v>
      </c>
      <c r="R165" s="34">
        <v>3554730</v>
      </c>
      <c r="S165" s="34">
        <v>30.5</v>
      </c>
      <c r="T165" s="34">
        <v>35.4</v>
      </c>
      <c r="U165" s="34">
        <v>34.1</v>
      </c>
      <c r="V165" s="34">
        <v>0.91800000000000004</v>
      </c>
      <c r="W165" s="34">
        <v>14.101889610000001</v>
      </c>
      <c r="X165" s="34">
        <v>12.65323261</v>
      </c>
      <c r="Y165" s="34">
        <v>82296.951249999998</v>
      </c>
      <c r="Z165" s="34">
        <v>0.99099999999999999</v>
      </c>
      <c r="AA165" s="34">
        <v>5.5E-2</v>
      </c>
      <c r="AB165" s="34">
        <v>6.7257862380000004</v>
      </c>
      <c r="AC165" s="34">
        <v>4.6020000000000003</v>
      </c>
      <c r="AD165" s="34">
        <v>15.54295527</v>
      </c>
      <c r="AE165" s="34">
        <v>36.5687</v>
      </c>
    </row>
    <row r="166" spans="1:31" x14ac:dyDescent="0.3">
      <c r="A166" s="3" t="s">
        <v>184</v>
      </c>
      <c r="B166" s="27">
        <v>145417</v>
      </c>
      <c r="C166" s="29">
        <v>10276617</v>
      </c>
      <c r="D166" s="29">
        <v>20840</v>
      </c>
      <c r="E166" s="30">
        <v>97099.3</v>
      </c>
      <c r="F166" s="30">
        <v>137324.20000000001</v>
      </c>
      <c r="G166" s="30">
        <v>6.7</v>
      </c>
      <c r="H166" s="30">
        <v>10.6</v>
      </c>
      <c r="I166" s="33">
        <v>4.4000000000000004</v>
      </c>
      <c r="J166" s="33">
        <v>81.700999999999993</v>
      </c>
      <c r="K166" s="33">
        <v>1.43</v>
      </c>
      <c r="L166" s="29">
        <v>959228</v>
      </c>
      <c r="M166" s="32">
        <v>33.9</v>
      </c>
      <c r="N166" s="32">
        <v>113</v>
      </c>
      <c r="O166" s="32">
        <v>18670</v>
      </c>
      <c r="P166" s="34">
        <v>92301.8</v>
      </c>
      <c r="Q166" s="34">
        <v>93271</v>
      </c>
      <c r="R166" s="34">
        <v>55007894</v>
      </c>
      <c r="S166" s="34">
        <v>47.6</v>
      </c>
      <c r="T166" s="34">
        <v>28.7</v>
      </c>
      <c r="U166" s="34">
        <v>23.8</v>
      </c>
      <c r="V166" s="34">
        <v>0.86399999999999999</v>
      </c>
      <c r="W166" s="34">
        <v>16.600870130000001</v>
      </c>
      <c r="X166" s="34">
        <v>9.3274202349999999</v>
      </c>
      <c r="Y166" s="34">
        <v>34036.33943</v>
      </c>
      <c r="Z166" s="34">
        <v>0.99099999999999999</v>
      </c>
      <c r="AA166" s="34">
        <v>7.8E-2</v>
      </c>
      <c r="AB166" s="34">
        <v>11.33437048</v>
      </c>
      <c r="AC166" s="34">
        <v>7.7990000000000004</v>
      </c>
      <c r="AD166" s="34">
        <v>4.6155836150000003</v>
      </c>
      <c r="AE166" s="34">
        <v>12.1053</v>
      </c>
    </row>
    <row r="167" spans="1:31" x14ac:dyDescent="0.3">
      <c r="A167" s="3" t="s">
        <v>195</v>
      </c>
      <c r="B167" s="27">
        <v>45289</v>
      </c>
      <c r="C167" s="29">
        <v>4058165</v>
      </c>
      <c r="D167" s="29">
        <v>12490</v>
      </c>
      <c r="E167" s="30">
        <v>24779.599999999999</v>
      </c>
      <c r="F167" s="30">
        <v>29698</v>
      </c>
      <c r="G167" s="30">
        <v>5.9</v>
      </c>
      <c r="H167" s="30">
        <v>2.2000000000000002</v>
      </c>
      <c r="I167" s="33">
        <v>3.8</v>
      </c>
      <c r="J167" s="33">
        <v>77.983999999999995</v>
      </c>
      <c r="K167" s="33">
        <v>1.48</v>
      </c>
      <c r="L167" s="29">
        <v>533769</v>
      </c>
      <c r="M167" s="32">
        <v>32.6</v>
      </c>
      <c r="N167" s="32">
        <v>72.8</v>
      </c>
      <c r="O167" s="32">
        <v>11700</v>
      </c>
      <c r="P167" s="34">
        <v>24476.1</v>
      </c>
      <c r="Q167" s="34">
        <v>20936.099999999999</v>
      </c>
      <c r="R167" s="34">
        <v>1943547</v>
      </c>
      <c r="S167" s="34">
        <v>17.5</v>
      </c>
      <c r="T167" s="34">
        <v>60.5</v>
      </c>
      <c r="U167" s="34">
        <v>22</v>
      </c>
      <c r="V167" s="34">
        <v>0.86</v>
      </c>
      <c r="W167" s="34">
        <v>15.48550987</v>
      </c>
      <c r="X167" s="34">
        <v>12.32871821</v>
      </c>
      <c r="Y167" s="34">
        <v>27623.955399999999</v>
      </c>
      <c r="Z167" s="34">
        <v>0.99099999999999999</v>
      </c>
      <c r="AA167" s="34">
        <v>9.5000000000000001E-2</v>
      </c>
      <c r="AB167" s="34">
        <v>4.8168215539999997</v>
      </c>
      <c r="AC167" s="34">
        <v>8.8949999999999996</v>
      </c>
      <c r="AD167" s="34">
        <v>4.1179007680000002</v>
      </c>
      <c r="AE167" s="34">
        <v>15.161899999999999</v>
      </c>
    </row>
    <row r="168" spans="1:31" x14ac:dyDescent="0.3">
      <c r="A168" s="3" t="s">
        <v>217</v>
      </c>
      <c r="B168" s="27">
        <v>859477</v>
      </c>
      <c r="C168" s="29">
        <v>47332614</v>
      </c>
      <c r="D168" s="29">
        <v>23640</v>
      </c>
      <c r="E168" s="30">
        <v>560696</v>
      </c>
      <c r="F168" s="30">
        <v>627505</v>
      </c>
      <c r="G168" s="30">
        <v>2.9</v>
      </c>
      <c r="H168" s="30">
        <v>16</v>
      </c>
      <c r="I168" s="33">
        <v>1.9</v>
      </c>
      <c r="J168" s="33">
        <v>82.289000000000001</v>
      </c>
      <c r="K168" s="33">
        <v>1.19</v>
      </c>
      <c r="L168" s="29">
        <v>6996825</v>
      </c>
      <c r="M168" s="32">
        <v>29.7</v>
      </c>
      <c r="N168" s="32">
        <v>93.8</v>
      </c>
      <c r="O168" s="32">
        <v>22260</v>
      </c>
      <c r="P168" s="34">
        <v>328320</v>
      </c>
      <c r="Q168" s="34">
        <v>344423</v>
      </c>
      <c r="R168" s="34">
        <v>57797305</v>
      </c>
      <c r="S168" s="34">
        <v>38.200000000000003</v>
      </c>
      <c r="T168" s="34">
        <v>25.8</v>
      </c>
      <c r="U168" s="34">
        <v>36</v>
      </c>
      <c r="V168" s="34">
        <v>0.89400000000000002</v>
      </c>
      <c r="W168" s="34">
        <v>17.469579700000001</v>
      </c>
      <c r="X168" s="34">
        <v>10.60540009</v>
      </c>
      <c r="Y168" s="34">
        <v>36075.604939999997</v>
      </c>
      <c r="Z168" s="34">
        <v>0.99099999999999999</v>
      </c>
      <c r="AA168" s="34">
        <v>5.6000000000000001E-2</v>
      </c>
      <c r="AB168" s="34">
        <v>3.4412514879999998</v>
      </c>
      <c r="AC168" s="34">
        <v>5.9790000000000001</v>
      </c>
      <c r="AD168" s="34">
        <v>4.5103088949999997</v>
      </c>
      <c r="AE168" s="34">
        <v>12.448700000000001</v>
      </c>
    </row>
    <row r="169" spans="1:31" x14ac:dyDescent="0.3">
      <c r="A169" s="3" t="s">
        <v>237</v>
      </c>
      <c r="B169" s="27">
        <v>47487</v>
      </c>
      <c r="C169" s="29">
        <v>634730</v>
      </c>
      <c r="D169" s="29">
        <v>112860</v>
      </c>
      <c r="E169" s="30">
        <v>34910.5</v>
      </c>
      <c r="F169" s="30">
        <v>21986.400000000001</v>
      </c>
      <c r="G169" s="30">
        <v>3.7</v>
      </c>
      <c r="H169" s="30">
        <v>9.3000000000000007</v>
      </c>
      <c r="I169" s="33">
        <v>3</v>
      </c>
      <c r="J169" s="33">
        <v>82.629000000000005</v>
      </c>
      <c r="K169" s="33">
        <v>1.38</v>
      </c>
      <c r="L169" s="29">
        <v>309164</v>
      </c>
      <c r="M169" s="32">
        <v>21</v>
      </c>
      <c r="N169" s="32">
        <v>243.8</v>
      </c>
      <c r="O169" s="32">
        <v>86540</v>
      </c>
      <c r="P169" s="34">
        <v>130190.6</v>
      </c>
      <c r="Q169" s="34">
        <v>154289.79999999999</v>
      </c>
      <c r="R169" s="34">
        <v>2002903</v>
      </c>
      <c r="S169" s="34">
        <v>25.1</v>
      </c>
      <c r="T169" s="34">
        <v>30.4</v>
      </c>
      <c r="U169" s="34">
        <v>44.5</v>
      </c>
      <c r="V169" s="34">
        <v>0.92700000000000005</v>
      </c>
      <c r="W169" s="34">
        <v>14.197050089999999</v>
      </c>
      <c r="X169" s="34">
        <v>12.9600811</v>
      </c>
      <c r="Y169" s="34">
        <v>78650.58786</v>
      </c>
      <c r="Z169" s="34">
        <v>0.99099999999999999</v>
      </c>
      <c r="AA169" s="34">
        <v>4.2000000000000003E-2</v>
      </c>
      <c r="AB169" s="34">
        <v>6.4855001420000002</v>
      </c>
      <c r="AC169" s="34">
        <v>4.3040000000000003</v>
      </c>
      <c r="AD169" s="34">
        <v>13.18539513</v>
      </c>
      <c r="AE169" s="34">
        <v>49.563499999999998</v>
      </c>
    </row>
    <row r="170" spans="1:31" x14ac:dyDescent="0.3">
      <c r="A170" s="3" t="s">
        <v>245</v>
      </c>
      <c r="B170" s="27">
        <v>958813</v>
      </c>
      <c r="C170" s="29">
        <v>47398695</v>
      </c>
      <c r="D170" s="29">
        <v>25800</v>
      </c>
      <c r="E170" s="30">
        <v>599363</v>
      </c>
      <c r="F170" s="30">
        <v>687133</v>
      </c>
      <c r="G170" s="30">
        <v>3.2</v>
      </c>
      <c r="H170" s="30">
        <v>13.3</v>
      </c>
      <c r="I170" s="33">
        <v>3.1</v>
      </c>
      <c r="J170" s="33">
        <v>83.01</v>
      </c>
      <c r="K170" s="33">
        <v>1.19</v>
      </c>
      <c r="L170" s="29">
        <v>7214878</v>
      </c>
      <c r="M170" s="32">
        <v>30</v>
      </c>
      <c r="N170" s="32">
        <v>94.2</v>
      </c>
      <c r="O170" s="32">
        <v>23670</v>
      </c>
      <c r="P170" s="34">
        <v>405982</v>
      </c>
      <c r="Q170" s="34">
        <v>417735</v>
      </c>
      <c r="R170" s="34">
        <v>91898241</v>
      </c>
      <c r="S170" s="34">
        <v>37.9</v>
      </c>
      <c r="T170" s="34">
        <v>25.6</v>
      </c>
      <c r="U170" s="34">
        <v>36.5</v>
      </c>
      <c r="V170" s="34">
        <v>0.90400000000000003</v>
      </c>
      <c r="W170" s="34">
        <v>17.809059139999999</v>
      </c>
      <c r="X170" s="34">
        <v>10.60540009</v>
      </c>
      <c r="Y170" s="34">
        <v>38132.738550000002</v>
      </c>
      <c r="Z170" s="34">
        <v>0.99099999999999999</v>
      </c>
      <c r="AA170" s="34">
        <v>5.7000000000000002E-2</v>
      </c>
      <c r="AB170" s="34">
        <v>3.4412514879999998</v>
      </c>
      <c r="AC170" s="34">
        <v>6.2809999999999997</v>
      </c>
      <c r="AD170" s="34">
        <v>4.8491127089999999</v>
      </c>
      <c r="AE170" s="34">
        <v>13.4192</v>
      </c>
    </row>
    <row r="171" spans="1:31" x14ac:dyDescent="0.3">
      <c r="A171" s="3" t="s">
        <v>20</v>
      </c>
      <c r="B171" s="27">
        <v>24256</v>
      </c>
      <c r="C171" s="29">
        <v>7245677</v>
      </c>
      <c r="D171" s="29">
        <v>5960</v>
      </c>
      <c r="E171" s="30">
        <v>17512.099999999999</v>
      </c>
      <c r="F171" s="30">
        <v>26992.9</v>
      </c>
      <c r="G171" s="30">
        <v>9.1999999999999993</v>
      </c>
      <c r="H171" s="30">
        <v>12.9</v>
      </c>
      <c r="I171" s="33">
        <v>3.4</v>
      </c>
      <c r="J171" s="33">
        <v>74.481999999999999</v>
      </c>
      <c r="K171" s="33">
        <v>1.53</v>
      </c>
      <c r="L171" s="29">
        <v>109239</v>
      </c>
      <c r="M171" s="32">
        <v>29.3</v>
      </c>
      <c r="N171" s="32">
        <v>66.3</v>
      </c>
      <c r="O171" s="32">
        <v>5470</v>
      </c>
      <c r="P171" s="34">
        <v>28255.8</v>
      </c>
      <c r="Q171" s="34">
        <v>27791.5</v>
      </c>
      <c r="R171" s="34">
        <v>7520697</v>
      </c>
      <c r="S171" s="34">
        <v>22.6</v>
      </c>
      <c r="T171" s="34">
        <v>53.8</v>
      </c>
      <c r="U171" s="34">
        <v>23.6</v>
      </c>
      <c r="V171" s="34">
        <v>0.80700000000000005</v>
      </c>
      <c r="W171" s="34">
        <v>15.17376041</v>
      </c>
      <c r="X171" s="34">
        <v>11.05152988</v>
      </c>
      <c r="Y171" s="34">
        <v>19048.31148</v>
      </c>
      <c r="Z171" s="34">
        <v>0.99199999999999999</v>
      </c>
      <c r="AA171" s="34">
        <v>0.22500000000000001</v>
      </c>
      <c r="AB171" s="34">
        <v>7.4583552559999999</v>
      </c>
      <c r="AC171" s="34">
        <v>41.997999999999998</v>
      </c>
      <c r="AD171" s="34">
        <v>6.126008713</v>
      </c>
      <c r="AE171" s="34">
        <v>15.1754</v>
      </c>
    </row>
    <row r="172" spans="1:31" x14ac:dyDescent="0.3">
      <c r="A172" s="3" t="s">
        <v>41</v>
      </c>
      <c r="B172" s="27">
        <v>77979</v>
      </c>
      <c r="C172" s="29">
        <v>5415949</v>
      </c>
      <c r="D172" s="29">
        <v>14090</v>
      </c>
      <c r="E172" s="30">
        <v>28570.400000000001</v>
      </c>
      <c r="F172" s="30">
        <v>42004</v>
      </c>
      <c r="G172" s="30">
        <v>5.4</v>
      </c>
      <c r="H172" s="30">
        <v>6.7</v>
      </c>
      <c r="I172" s="33">
        <v>4.9000000000000004</v>
      </c>
      <c r="J172" s="33">
        <v>76.846999999999994</v>
      </c>
      <c r="K172" s="33">
        <v>1.37</v>
      </c>
      <c r="L172" s="29">
        <v>174908</v>
      </c>
      <c r="M172" s="32">
        <v>19</v>
      </c>
      <c r="N172" s="32">
        <v>110.5</v>
      </c>
      <c r="O172" s="32">
        <v>13640</v>
      </c>
      <c r="P172" s="34">
        <v>66148.5</v>
      </c>
      <c r="Q172" s="34">
        <v>69788.100000000006</v>
      </c>
      <c r="R172" s="34">
        <v>1671290</v>
      </c>
      <c r="S172" s="34">
        <v>15.2</v>
      </c>
      <c r="T172" s="34">
        <v>66.7</v>
      </c>
      <c r="U172" s="34">
        <v>18.100000000000001</v>
      </c>
      <c r="V172" s="34">
        <v>0.85099999999999998</v>
      </c>
      <c r="W172" s="34">
        <v>14.98192978</v>
      </c>
      <c r="X172" s="34">
        <v>12.4435997</v>
      </c>
      <c r="Y172" s="34">
        <v>27164.566599999998</v>
      </c>
      <c r="Z172" s="34">
        <v>0.99199999999999999</v>
      </c>
      <c r="AA172" s="34">
        <v>0.188</v>
      </c>
      <c r="AB172" s="34">
        <v>5.2165475150000002</v>
      </c>
      <c r="AC172" s="34">
        <v>23.007999999999999</v>
      </c>
      <c r="AD172" s="34">
        <v>6.2105676670000003</v>
      </c>
      <c r="AE172" s="34">
        <v>13.9178</v>
      </c>
    </row>
    <row r="173" spans="1:31" x14ac:dyDescent="0.3">
      <c r="A173" s="3" t="s">
        <v>99</v>
      </c>
      <c r="B173" s="27">
        <v>96105</v>
      </c>
      <c r="C173" s="29">
        <v>5426252</v>
      </c>
      <c r="D173" s="29">
        <v>14960</v>
      </c>
      <c r="E173" s="30">
        <v>31936.400000000001</v>
      </c>
      <c r="F173" s="30">
        <v>44656.4</v>
      </c>
      <c r="G173" s="30">
        <v>5.0999999999999996</v>
      </c>
      <c r="H173" s="30">
        <v>7.4</v>
      </c>
      <c r="I173" s="33">
        <v>5.5</v>
      </c>
      <c r="J173" s="33">
        <v>77.215000000000003</v>
      </c>
      <c r="K173" s="33">
        <v>1.48</v>
      </c>
      <c r="L173" s="29">
        <v>181642</v>
      </c>
      <c r="M173" s="32">
        <v>20.6</v>
      </c>
      <c r="N173" s="32">
        <v>111.5</v>
      </c>
      <c r="O173" s="32">
        <v>14590</v>
      </c>
      <c r="P173" s="34">
        <v>73599.8</v>
      </c>
      <c r="Q173" s="34">
        <v>75955.399999999994</v>
      </c>
      <c r="R173" s="34">
        <v>2158261</v>
      </c>
      <c r="S173" s="34">
        <v>14.3</v>
      </c>
      <c r="T173" s="34">
        <v>66</v>
      </c>
      <c r="U173" s="34">
        <v>19.7</v>
      </c>
      <c r="V173" s="34">
        <v>0.85499999999999998</v>
      </c>
      <c r="W173" s="34">
        <v>14.67245007</v>
      </c>
      <c r="X173" s="34">
        <v>12.71166039</v>
      </c>
      <c r="Y173" s="34">
        <v>28827.595990000002</v>
      </c>
      <c r="Z173" s="34">
        <v>0.99199999999999999</v>
      </c>
      <c r="AA173" s="34">
        <v>0.192</v>
      </c>
      <c r="AB173" s="34">
        <v>5.114866063</v>
      </c>
      <c r="AC173" s="34">
        <v>26.215</v>
      </c>
      <c r="AD173" s="34">
        <v>6.4284837079999999</v>
      </c>
      <c r="AE173" s="34">
        <v>14.818899999999999</v>
      </c>
    </row>
    <row r="174" spans="1:31" x14ac:dyDescent="0.3">
      <c r="A174" s="3" t="s">
        <v>136</v>
      </c>
      <c r="B174" s="27">
        <v>39419</v>
      </c>
      <c r="C174" s="29">
        <v>7050034</v>
      </c>
      <c r="D174" s="29">
        <v>8000</v>
      </c>
      <c r="E174" s="30">
        <v>24664.1</v>
      </c>
      <c r="F174" s="30">
        <v>33628.6</v>
      </c>
      <c r="G174" s="30">
        <v>8.6999999999999993</v>
      </c>
      <c r="H174" s="30">
        <v>12.7</v>
      </c>
      <c r="I174" s="33">
        <v>4.4000000000000004</v>
      </c>
      <c r="J174" s="33">
        <v>74.897999999999996</v>
      </c>
      <c r="K174" s="33">
        <v>1.56</v>
      </c>
      <c r="L174" s="29">
        <v>156505</v>
      </c>
      <c r="M174" s="32">
        <v>32.5</v>
      </c>
      <c r="N174" s="32">
        <v>63.9</v>
      </c>
      <c r="O174" s="32">
        <v>6330</v>
      </c>
      <c r="P174" s="34">
        <v>35513.800000000003</v>
      </c>
      <c r="Q174" s="34">
        <v>36928.6</v>
      </c>
      <c r="R174" s="34">
        <v>12137714</v>
      </c>
      <c r="S174" s="34">
        <v>21.5</v>
      </c>
      <c r="T174" s="34">
        <v>53.6</v>
      </c>
      <c r="U174" s="34">
        <v>24.8</v>
      </c>
      <c r="V174" s="34">
        <v>0.81100000000000005</v>
      </c>
      <c r="W174" s="34">
        <v>14.4972496</v>
      </c>
      <c r="X174" s="34">
        <v>11.29952653</v>
      </c>
      <c r="Y174" s="34">
        <v>21476.699400000001</v>
      </c>
      <c r="Z174" s="34">
        <v>0.99199999999999999</v>
      </c>
      <c r="AA174" s="34">
        <v>0.21</v>
      </c>
      <c r="AB174" s="34">
        <v>7.1677277610000001</v>
      </c>
      <c r="AC174" s="34">
        <v>39.209000000000003</v>
      </c>
      <c r="AD174" s="34">
        <v>6.1088895699999997</v>
      </c>
      <c r="AE174" s="34">
        <v>14.601100000000001</v>
      </c>
    </row>
    <row r="175" spans="1:31" x14ac:dyDescent="0.3">
      <c r="A175" s="3" t="s">
        <v>151</v>
      </c>
      <c r="B175" s="27">
        <v>54923</v>
      </c>
      <c r="C175" s="29">
        <v>602005</v>
      </c>
      <c r="D175" s="29">
        <v>98750</v>
      </c>
      <c r="E175" s="30">
        <v>29708.7</v>
      </c>
      <c r="F175" s="30">
        <v>20184.400000000001</v>
      </c>
      <c r="G175" s="30">
        <v>5.9</v>
      </c>
      <c r="H175" s="30">
        <v>6.3</v>
      </c>
      <c r="I175" s="33">
        <v>4.4000000000000004</v>
      </c>
      <c r="J175" s="33">
        <v>81.802999999999997</v>
      </c>
      <c r="K175" s="33">
        <v>1.38</v>
      </c>
      <c r="L175" s="29">
        <v>280151</v>
      </c>
      <c r="M175" s="32">
        <v>20.6</v>
      </c>
      <c r="N175" s="32">
        <v>235.1</v>
      </c>
      <c r="O175" s="32">
        <v>83390</v>
      </c>
      <c r="P175" s="34">
        <v>99153.4</v>
      </c>
      <c r="Q175" s="34">
        <v>118740.1</v>
      </c>
      <c r="R175" s="34">
        <v>3988804</v>
      </c>
      <c r="S175" s="34">
        <v>27.6</v>
      </c>
      <c r="T175" s="34">
        <v>34.200000000000003</v>
      </c>
      <c r="U175" s="34">
        <v>38.299999999999997</v>
      </c>
      <c r="V175" s="34">
        <v>0.92100000000000004</v>
      </c>
      <c r="W175" s="34">
        <v>14.14490032</v>
      </c>
      <c r="X175" s="34">
        <v>12.825101719999999</v>
      </c>
      <c r="Y175" s="34">
        <v>81479.273499999996</v>
      </c>
      <c r="Z175" s="34">
        <v>0.99199999999999999</v>
      </c>
      <c r="AA175" s="34">
        <v>7.0999999999999994E-2</v>
      </c>
      <c r="AB175" s="34">
        <v>6.6266711789999997</v>
      </c>
      <c r="AC175" s="34">
        <v>4.4660000000000002</v>
      </c>
      <c r="AD175" s="34">
        <v>15.74879958</v>
      </c>
      <c r="AE175" s="34">
        <v>49.133499999999998</v>
      </c>
    </row>
    <row r="176" spans="1:31" x14ac:dyDescent="0.3">
      <c r="A176" s="3" t="s">
        <v>49</v>
      </c>
      <c r="B176" s="27">
        <v>28216</v>
      </c>
      <c r="C176" s="29">
        <v>7202198</v>
      </c>
      <c r="D176" s="29">
        <v>6380</v>
      </c>
      <c r="E176" s="30">
        <v>18681.900000000001</v>
      </c>
      <c r="F176" s="30">
        <v>28409.4</v>
      </c>
      <c r="G176" s="30">
        <v>9.9</v>
      </c>
      <c r="H176" s="30">
        <v>13.4</v>
      </c>
      <c r="I176" s="33">
        <v>3.9</v>
      </c>
      <c r="J176" s="33">
        <v>74.632000000000005</v>
      </c>
      <c r="K176" s="33">
        <v>1.53</v>
      </c>
      <c r="L176" s="29">
        <v>123803</v>
      </c>
      <c r="M176" s="32">
        <v>30.2</v>
      </c>
      <c r="N176" s="32">
        <v>66.2</v>
      </c>
      <c r="O176" s="32">
        <v>5700</v>
      </c>
      <c r="P176" s="34">
        <v>28819.8</v>
      </c>
      <c r="Q176" s="34">
        <v>29222.3</v>
      </c>
      <c r="R176" s="34">
        <v>7610949</v>
      </c>
      <c r="S176" s="34">
        <v>22.2</v>
      </c>
      <c r="T176" s="34">
        <v>53.7</v>
      </c>
      <c r="U176" s="34">
        <v>24.1</v>
      </c>
      <c r="V176" s="34">
        <v>0.80900000000000005</v>
      </c>
      <c r="W176" s="34">
        <v>15.078619959999999</v>
      </c>
      <c r="X176" s="34">
        <v>11.18832016</v>
      </c>
      <c r="Y176" s="34">
        <v>19375.689640000001</v>
      </c>
      <c r="Z176" s="34">
        <v>0.99399999999999999</v>
      </c>
      <c r="AA176" s="34">
        <v>0.218</v>
      </c>
      <c r="AB176" s="34">
        <v>7.5017954900000001</v>
      </c>
      <c r="AC176" s="34">
        <v>39.200000000000003</v>
      </c>
      <c r="AD176" s="34">
        <v>6.5835729040000004</v>
      </c>
      <c r="AE176" s="34">
        <v>16.442799999999998</v>
      </c>
    </row>
    <row r="177" spans="1:31" x14ac:dyDescent="0.3">
      <c r="A177" s="3" t="s">
        <v>70</v>
      </c>
      <c r="B177" s="27">
        <v>88165</v>
      </c>
      <c r="C177" s="29">
        <v>5421349</v>
      </c>
      <c r="D177" s="29">
        <v>14780</v>
      </c>
      <c r="E177" s="30">
        <v>30380.3</v>
      </c>
      <c r="F177" s="30">
        <v>43116.3</v>
      </c>
      <c r="G177" s="30">
        <v>5.7</v>
      </c>
      <c r="H177" s="30">
        <v>6.9</v>
      </c>
      <c r="I177" s="33">
        <v>5.3</v>
      </c>
      <c r="J177" s="33">
        <v>76.649000000000001</v>
      </c>
      <c r="K177" s="33">
        <v>1.4</v>
      </c>
      <c r="L177" s="29">
        <v>177624</v>
      </c>
      <c r="M177" s="32">
        <v>19.7</v>
      </c>
      <c r="N177" s="32">
        <v>110.6</v>
      </c>
      <c r="O177" s="32">
        <v>14340</v>
      </c>
      <c r="P177" s="34">
        <v>70981.7</v>
      </c>
      <c r="Q177" s="34">
        <v>73395.8</v>
      </c>
      <c r="R177" s="34">
        <v>1943656</v>
      </c>
      <c r="S177" s="34">
        <v>14.6</v>
      </c>
      <c r="T177" s="34">
        <v>66.5</v>
      </c>
      <c r="U177" s="34">
        <v>18.899999999999999</v>
      </c>
      <c r="V177" s="34">
        <v>0.85199999999999998</v>
      </c>
      <c r="W177" s="34">
        <v>14.8499403</v>
      </c>
      <c r="X177" s="34">
        <v>12.638339999999999</v>
      </c>
      <c r="Y177" s="34">
        <v>28154.473600000001</v>
      </c>
      <c r="Z177" s="34">
        <v>0.99399999999999999</v>
      </c>
      <c r="AA177" s="34">
        <v>0.191</v>
      </c>
      <c r="AB177" s="34">
        <v>4.8879851499999996</v>
      </c>
      <c r="AC177" s="34">
        <v>24.186</v>
      </c>
      <c r="AD177" s="34">
        <v>6.3549185870000002</v>
      </c>
      <c r="AE177" s="34">
        <v>14.182399999999999</v>
      </c>
    </row>
    <row r="178" spans="1:31" x14ac:dyDescent="0.3">
      <c r="A178" s="3" t="s">
        <v>78</v>
      </c>
      <c r="B178" s="27">
        <v>33265</v>
      </c>
      <c r="C178" s="29">
        <v>7153784</v>
      </c>
      <c r="D178" s="29">
        <v>6840</v>
      </c>
      <c r="E178" s="30">
        <v>20118.5</v>
      </c>
      <c r="F178" s="30">
        <v>29513.9</v>
      </c>
      <c r="G178" s="30">
        <v>9.9</v>
      </c>
      <c r="H178" s="30">
        <v>13.8</v>
      </c>
      <c r="I178" s="33">
        <v>3.8</v>
      </c>
      <c r="J178" s="33">
        <v>74.834000000000003</v>
      </c>
      <c r="K178" s="33">
        <v>1.54</v>
      </c>
      <c r="L178" s="29">
        <v>136421</v>
      </c>
      <c r="M178" s="32">
        <v>31.1</v>
      </c>
      <c r="N178" s="32">
        <v>64.8</v>
      </c>
      <c r="O178" s="32">
        <v>5910</v>
      </c>
      <c r="P178" s="34">
        <v>28750.1</v>
      </c>
      <c r="Q178" s="34">
        <v>31143.8</v>
      </c>
      <c r="R178" s="34">
        <v>9324217</v>
      </c>
      <c r="S178" s="34">
        <v>21.9</v>
      </c>
      <c r="T178" s="34">
        <v>53.7</v>
      </c>
      <c r="U178" s="34">
        <v>24.4</v>
      </c>
      <c r="V178" s="34">
        <v>0.81</v>
      </c>
      <c r="W178" s="34">
        <v>14.829299929999999</v>
      </c>
      <c r="X178" s="34">
        <v>11.23243999</v>
      </c>
      <c r="Y178" s="34">
        <v>20093.456249999999</v>
      </c>
      <c r="Z178" s="34">
        <v>0.99399999999999999</v>
      </c>
      <c r="AA178" s="34">
        <v>0.216</v>
      </c>
      <c r="AB178" s="34">
        <v>7.1580598530000001</v>
      </c>
      <c r="AC178" s="34">
        <v>37.915999999999997</v>
      </c>
      <c r="AD178" s="34">
        <v>6.2568391419999996</v>
      </c>
      <c r="AE178" s="34">
        <v>14.2974</v>
      </c>
    </row>
    <row r="179" spans="1:31" x14ac:dyDescent="0.3">
      <c r="A179" s="3" t="s">
        <v>107</v>
      </c>
      <c r="B179" s="27">
        <v>37506</v>
      </c>
      <c r="C179" s="29">
        <v>7101859</v>
      </c>
      <c r="D179" s="29">
        <v>7420</v>
      </c>
      <c r="E179" s="30">
        <v>22302.9</v>
      </c>
      <c r="F179" s="30">
        <v>31664.6</v>
      </c>
      <c r="G179" s="30">
        <v>9.6</v>
      </c>
      <c r="H179" s="30">
        <v>12.7</v>
      </c>
      <c r="I179" s="33">
        <v>4</v>
      </c>
      <c r="J179" s="33">
        <v>74.799000000000007</v>
      </c>
      <c r="K179" s="33">
        <v>1.56</v>
      </c>
      <c r="L179" s="29">
        <v>145390</v>
      </c>
      <c r="M179" s="32">
        <v>31.8</v>
      </c>
      <c r="N179" s="32">
        <v>64.3</v>
      </c>
      <c r="O179" s="32">
        <v>6120</v>
      </c>
      <c r="P179" s="34">
        <v>32932.5</v>
      </c>
      <c r="Q179" s="34">
        <v>35183.199999999997</v>
      </c>
      <c r="R179" s="34">
        <v>11092651</v>
      </c>
      <c r="S179" s="34">
        <v>21.4</v>
      </c>
      <c r="T179" s="34">
        <v>54.1</v>
      </c>
      <c r="U179" s="34">
        <v>24.5</v>
      </c>
      <c r="V179" s="34">
        <v>0.81</v>
      </c>
      <c r="W179" s="34">
        <v>14.64519978</v>
      </c>
      <c r="X179" s="34">
        <v>11.24269962</v>
      </c>
      <c r="Y179" s="34">
        <v>20986.679510000002</v>
      </c>
      <c r="Z179" s="34">
        <v>0.99399999999999999</v>
      </c>
      <c r="AA179" s="34">
        <v>0.20799999999999999</v>
      </c>
      <c r="AB179" s="34">
        <v>7.0295987369999997</v>
      </c>
      <c r="AC179" s="34">
        <v>38.398000000000003</v>
      </c>
      <c r="AD179" s="34">
        <v>6.6037000299999997</v>
      </c>
      <c r="AE179" s="34">
        <v>14.934699999999999</v>
      </c>
    </row>
    <row r="180" spans="1:31" x14ac:dyDescent="0.3">
      <c r="A180" s="3" t="s">
        <v>155</v>
      </c>
      <c r="B180" s="27">
        <v>223799</v>
      </c>
      <c r="C180" s="29">
        <v>10291027</v>
      </c>
      <c r="D180" s="29">
        <v>19950</v>
      </c>
      <c r="E180" s="30">
        <v>91633.1</v>
      </c>
      <c r="F180" s="30">
        <v>131871.29999999999</v>
      </c>
      <c r="G180" s="30">
        <v>6.8</v>
      </c>
      <c r="H180" s="30">
        <v>11.8</v>
      </c>
      <c r="I180" s="33">
        <v>4.4000000000000004</v>
      </c>
      <c r="J180" s="33">
        <v>81.394999999999996</v>
      </c>
      <c r="K180" s="33">
        <v>1.42</v>
      </c>
      <c r="L180" s="29">
        <v>909553</v>
      </c>
      <c r="M180" s="32">
        <v>33.299999999999997</v>
      </c>
      <c r="N180" s="32">
        <v>113</v>
      </c>
      <c r="O180" s="32">
        <v>18190</v>
      </c>
      <c r="P180" s="34">
        <v>88194.4</v>
      </c>
      <c r="Q180" s="34">
        <v>89143.7</v>
      </c>
      <c r="R180" s="34">
        <v>51018598</v>
      </c>
      <c r="S180" s="34">
        <v>49.8</v>
      </c>
      <c r="T180" s="34">
        <v>27.6</v>
      </c>
      <c r="U180" s="34">
        <v>22.5</v>
      </c>
      <c r="V180" s="34">
        <v>0.85799999999999998</v>
      </c>
      <c r="W180" s="34">
        <v>16.481279369999999</v>
      </c>
      <c r="X180" s="34">
        <v>9.1447095869999995</v>
      </c>
      <c r="Y180" s="34">
        <v>33211.237070000003</v>
      </c>
      <c r="Z180" s="34">
        <v>0.99399999999999999</v>
      </c>
      <c r="AA180" s="34">
        <v>0.08</v>
      </c>
      <c r="AB180" s="34">
        <v>10.98013134</v>
      </c>
      <c r="AC180" s="34">
        <v>7.5579999999999998</v>
      </c>
      <c r="AD180" s="34">
        <v>4.9925679079999998</v>
      </c>
      <c r="AE180" s="34">
        <v>12.0298</v>
      </c>
    </row>
    <row r="181" spans="1:31" x14ac:dyDescent="0.3">
      <c r="A181" s="3" t="s">
        <v>165</v>
      </c>
      <c r="B181" s="27">
        <v>27214</v>
      </c>
      <c r="C181" s="29">
        <v>7000039</v>
      </c>
      <c r="D181" s="29">
        <v>8820</v>
      </c>
      <c r="E181" s="30">
        <v>26777.4</v>
      </c>
      <c r="F181" s="30">
        <v>36351.699999999997</v>
      </c>
      <c r="G181" s="30">
        <v>9</v>
      </c>
      <c r="H181" s="30">
        <v>13.9</v>
      </c>
      <c r="I181" s="33">
        <v>4.4000000000000004</v>
      </c>
      <c r="J181" s="33">
        <v>75.061999999999998</v>
      </c>
      <c r="K181" s="33">
        <v>1.58</v>
      </c>
      <c r="L181" s="29">
        <v>171993</v>
      </c>
      <c r="M181" s="32">
        <v>33.200000000000003</v>
      </c>
      <c r="N181" s="32">
        <v>63.4</v>
      </c>
      <c r="O181" s="32">
        <v>6630</v>
      </c>
      <c r="P181" s="34">
        <v>37375.800000000003</v>
      </c>
      <c r="Q181" s="34">
        <v>39346.199999999997</v>
      </c>
      <c r="R181" s="34">
        <v>11713068</v>
      </c>
      <c r="S181" s="34">
        <v>21.9</v>
      </c>
      <c r="T181" s="34">
        <v>53.5</v>
      </c>
      <c r="U181" s="34">
        <v>24.7</v>
      </c>
      <c r="V181" s="34">
        <v>0.81299999999999994</v>
      </c>
      <c r="W181" s="34">
        <v>14.254170419999999</v>
      </c>
      <c r="X181" s="34">
        <v>11.356353439999999</v>
      </c>
      <c r="Y181" s="34">
        <v>22590.949189999999</v>
      </c>
      <c r="Z181" s="34">
        <v>0.99399999999999999</v>
      </c>
      <c r="AA181" s="34">
        <v>0.20499999999999999</v>
      </c>
      <c r="AB181" s="34">
        <v>6.7299145830000002</v>
      </c>
      <c r="AC181" s="34">
        <v>39.244999999999997</v>
      </c>
      <c r="AD181" s="34">
        <v>5.9883032079999996</v>
      </c>
      <c r="AE181" s="34">
        <v>13.402200000000001</v>
      </c>
    </row>
    <row r="182" spans="1:31" x14ac:dyDescent="0.3">
      <c r="A182" s="3" t="s">
        <v>186</v>
      </c>
      <c r="B182" s="27">
        <v>76305</v>
      </c>
      <c r="C182" s="29">
        <v>5450421</v>
      </c>
      <c r="D182" s="29">
        <v>17320</v>
      </c>
      <c r="E182" s="30">
        <v>40228.5</v>
      </c>
      <c r="F182" s="30">
        <v>53225</v>
      </c>
      <c r="G182" s="30">
        <v>5</v>
      </c>
      <c r="H182" s="30">
        <v>8.3000000000000007</v>
      </c>
      <c r="I182" s="33">
        <v>4.4000000000000004</v>
      </c>
      <c r="J182" s="33">
        <v>77.685000000000002</v>
      </c>
      <c r="K182" s="33">
        <v>1.57</v>
      </c>
      <c r="L182" s="29">
        <v>194389</v>
      </c>
      <c r="M182" s="32">
        <v>23.5</v>
      </c>
      <c r="N182" s="32">
        <v>112</v>
      </c>
      <c r="O182" s="32">
        <v>15960</v>
      </c>
      <c r="P182" s="34">
        <v>86483.199999999997</v>
      </c>
      <c r="Q182" s="34">
        <v>86789.1</v>
      </c>
      <c r="R182" s="34">
        <v>2839787</v>
      </c>
      <c r="S182" s="34">
        <v>14.5</v>
      </c>
      <c r="T182" s="34">
        <v>62.3</v>
      </c>
      <c r="U182" s="34">
        <v>23.1</v>
      </c>
      <c r="V182" s="34">
        <v>0.86299999999999999</v>
      </c>
      <c r="W182" s="34">
        <v>14.524009700000001</v>
      </c>
      <c r="X182" s="34">
        <v>12.91141987</v>
      </c>
      <c r="Y182" s="34">
        <v>31292.126209999999</v>
      </c>
      <c r="Z182" s="34">
        <v>0.99399999999999999</v>
      </c>
      <c r="AA182" s="34">
        <v>0.19400000000000001</v>
      </c>
      <c r="AB182" s="34">
        <v>4.8564018530000004</v>
      </c>
      <c r="AC182" s="34">
        <v>26.881</v>
      </c>
      <c r="AD182" s="34">
        <v>6.1934306379999997</v>
      </c>
      <c r="AE182" s="34">
        <v>13.635400000000001</v>
      </c>
    </row>
    <row r="183" spans="1:31" x14ac:dyDescent="0.3">
      <c r="A183" s="3" t="s">
        <v>213</v>
      </c>
      <c r="B183" s="27">
        <v>146637</v>
      </c>
      <c r="C183" s="29">
        <v>10295909</v>
      </c>
      <c r="D183" s="29">
        <v>19470</v>
      </c>
      <c r="E183" s="30">
        <v>97123.6</v>
      </c>
      <c r="F183" s="30">
        <v>128445.1</v>
      </c>
      <c r="G183" s="30">
        <v>5.2</v>
      </c>
      <c r="H183" s="30">
        <v>8.9</v>
      </c>
      <c r="I183" s="33">
        <v>1.8</v>
      </c>
      <c r="J183" s="33">
        <v>81.055000000000007</v>
      </c>
      <c r="K183" s="33">
        <v>1.41</v>
      </c>
      <c r="L183" s="29">
        <v>1094557</v>
      </c>
      <c r="M183" s="32">
        <v>34.5</v>
      </c>
      <c r="N183" s="32">
        <v>113</v>
      </c>
      <c r="O183" s="32">
        <v>17100</v>
      </c>
      <c r="P183" s="34">
        <v>78584.800000000003</v>
      </c>
      <c r="Q183" s="34">
        <v>74285.8</v>
      </c>
      <c r="R183" s="34">
        <v>16548993</v>
      </c>
      <c r="S183" s="34">
        <v>44.5</v>
      </c>
      <c r="T183" s="34">
        <v>30.2</v>
      </c>
      <c r="U183" s="34">
        <v>25.4</v>
      </c>
      <c r="V183" s="34">
        <v>0.86099999999999999</v>
      </c>
      <c r="W183" s="34">
        <v>16.668609620000002</v>
      </c>
      <c r="X183" s="34">
        <v>9.5759401319999995</v>
      </c>
      <c r="Y183" s="34">
        <v>31510.428049999999</v>
      </c>
      <c r="Z183" s="34">
        <v>0.99399999999999999</v>
      </c>
      <c r="AA183" s="34">
        <v>7.8E-2</v>
      </c>
      <c r="AB183" s="34">
        <v>11.799454880000001</v>
      </c>
      <c r="AC183" s="34">
        <v>7.5970000000000004</v>
      </c>
      <c r="AD183" s="34">
        <v>4.0487883699999996</v>
      </c>
      <c r="AE183" s="34">
        <v>13.151300000000001</v>
      </c>
    </row>
    <row r="184" spans="1:31" x14ac:dyDescent="0.3">
      <c r="A184" s="3" t="s">
        <v>215</v>
      </c>
      <c r="B184" s="27">
        <v>75582</v>
      </c>
      <c r="C184" s="29">
        <v>5457873</v>
      </c>
      <c r="D184" s="29">
        <v>17110</v>
      </c>
      <c r="E184" s="30">
        <v>41003.5</v>
      </c>
      <c r="F184" s="30">
        <v>53768.800000000003</v>
      </c>
      <c r="G184" s="30">
        <v>4.5</v>
      </c>
      <c r="H184" s="30">
        <v>7.6</v>
      </c>
      <c r="I184" s="33">
        <v>4.4000000000000004</v>
      </c>
      <c r="J184" s="33">
        <v>77.004999999999995</v>
      </c>
      <c r="K184" s="33">
        <v>1.59</v>
      </c>
      <c r="L184" s="29">
        <v>198429</v>
      </c>
      <c r="M184" s="32">
        <v>24.5</v>
      </c>
      <c r="N184" s="32">
        <v>112</v>
      </c>
      <c r="O184" s="32">
        <v>15400</v>
      </c>
      <c r="P184" s="34">
        <v>77963.399999999994</v>
      </c>
      <c r="Q184" s="34">
        <v>79479.8</v>
      </c>
      <c r="R184" s="34">
        <v>500604</v>
      </c>
      <c r="S184" s="34">
        <v>13.5</v>
      </c>
      <c r="T184" s="34">
        <v>62.6</v>
      </c>
      <c r="U184" s="34">
        <v>23.9</v>
      </c>
      <c r="V184" s="34">
        <v>0.86</v>
      </c>
      <c r="W184" s="34">
        <v>14.568920139999999</v>
      </c>
      <c r="X184" s="34">
        <v>13.007195749999999</v>
      </c>
      <c r="Y184" s="34">
        <v>30588.535199999998</v>
      </c>
      <c r="Z184" s="34">
        <v>0.995</v>
      </c>
      <c r="AA184" s="34">
        <v>0.184</v>
      </c>
      <c r="AB184" s="34">
        <v>4.8246658760000001</v>
      </c>
      <c r="AC184" s="34">
        <v>26.347000000000001</v>
      </c>
      <c r="AD184" s="34">
        <v>5.6988121530000004</v>
      </c>
      <c r="AE184" s="34">
        <v>13.166600000000001</v>
      </c>
    </row>
    <row r="185" spans="1:31" x14ac:dyDescent="0.3">
      <c r="A185" s="3" t="s">
        <v>128</v>
      </c>
      <c r="B185" s="27">
        <v>98195</v>
      </c>
      <c r="C185" s="29">
        <v>5435343</v>
      </c>
      <c r="D185" s="29">
        <v>15570</v>
      </c>
      <c r="E185" s="30">
        <v>34435.199999999997</v>
      </c>
      <c r="F185" s="30">
        <v>47376.5</v>
      </c>
      <c r="G185" s="30">
        <v>5.0999999999999996</v>
      </c>
      <c r="H185" s="30">
        <v>9.3000000000000007</v>
      </c>
      <c r="I185" s="33">
        <v>5.8</v>
      </c>
      <c r="J185" s="33">
        <v>77.218999999999994</v>
      </c>
      <c r="K185" s="33">
        <v>1.52</v>
      </c>
      <c r="L185" s="29">
        <v>186217</v>
      </c>
      <c r="M185" s="32">
        <v>21.5</v>
      </c>
      <c r="N185" s="32">
        <v>111.7</v>
      </c>
      <c r="O185" s="32">
        <v>15000</v>
      </c>
      <c r="P185" s="34">
        <v>78730.100000000006</v>
      </c>
      <c r="Q185" s="34">
        <v>80499.3</v>
      </c>
      <c r="R185" s="34">
        <v>2402651</v>
      </c>
      <c r="S185" s="34">
        <v>14.8</v>
      </c>
      <c r="T185" s="34">
        <v>64.5</v>
      </c>
      <c r="U185" s="34">
        <v>20.7</v>
      </c>
      <c r="V185" s="34">
        <v>0.85699999999999998</v>
      </c>
      <c r="W185" s="34">
        <v>14.59996986</v>
      </c>
      <c r="X185" s="34">
        <v>12.76618004</v>
      </c>
      <c r="Y185" s="34">
        <v>29599.147939999999</v>
      </c>
      <c r="Z185" s="34">
        <v>0.996</v>
      </c>
      <c r="AA185" s="34">
        <v>0.193</v>
      </c>
      <c r="AB185" s="34">
        <v>4.7929172619999996</v>
      </c>
      <c r="AC185" s="34">
        <v>26.931999999999999</v>
      </c>
      <c r="AD185" s="34">
        <v>6.6393328550000001</v>
      </c>
      <c r="AE185" s="34">
        <v>14.0632</v>
      </c>
    </row>
    <row r="186" spans="1:31" x14ac:dyDescent="0.3">
      <c r="A186" s="3" t="s">
        <v>157</v>
      </c>
      <c r="B186" s="27">
        <v>101568</v>
      </c>
      <c r="C186" s="29">
        <v>5443120</v>
      </c>
      <c r="D186" s="29">
        <v>16500</v>
      </c>
      <c r="E186" s="30">
        <v>37344.199999999997</v>
      </c>
      <c r="F186" s="30">
        <v>50447.8</v>
      </c>
      <c r="G186" s="30">
        <v>4.8</v>
      </c>
      <c r="H186" s="30">
        <v>8.6</v>
      </c>
      <c r="I186" s="33">
        <v>4.4000000000000004</v>
      </c>
      <c r="J186" s="33">
        <v>77.263999999999996</v>
      </c>
      <c r="K186" s="33">
        <v>1.54</v>
      </c>
      <c r="L186" s="29">
        <v>190308</v>
      </c>
      <c r="M186" s="32">
        <v>22.5</v>
      </c>
      <c r="N186" s="32">
        <v>111.8</v>
      </c>
      <c r="O186" s="32">
        <v>15580</v>
      </c>
      <c r="P186" s="34">
        <v>84453.6</v>
      </c>
      <c r="Q186" s="34">
        <v>86132.2</v>
      </c>
      <c r="R186" s="34">
        <v>2794094</v>
      </c>
      <c r="S186" s="34">
        <v>14.4</v>
      </c>
      <c r="T186" s="34">
        <v>63.6</v>
      </c>
      <c r="U186" s="34">
        <v>22</v>
      </c>
      <c r="V186" s="34">
        <v>0.86</v>
      </c>
      <c r="W186" s="34">
        <v>14.541440010000001</v>
      </c>
      <c r="X186" s="34">
        <v>12.86622047</v>
      </c>
      <c r="Y186" s="34">
        <v>30821.926800000001</v>
      </c>
      <c r="Z186" s="34">
        <v>0.996</v>
      </c>
      <c r="AA186" s="34">
        <v>0.19400000000000001</v>
      </c>
      <c r="AB186" s="34">
        <v>4.6501790600000001</v>
      </c>
      <c r="AC186" s="34">
        <v>26.808</v>
      </c>
      <c r="AD186" s="34">
        <v>6.6288214339999998</v>
      </c>
      <c r="AE186" s="34">
        <v>15.027799999999999</v>
      </c>
    </row>
    <row r="187" spans="1:31" x14ac:dyDescent="0.3">
      <c r="A187" s="3" t="s">
        <v>222</v>
      </c>
      <c r="B187" s="27">
        <v>37490</v>
      </c>
      <c r="C187" s="29">
        <v>6916548</v>
      </c>
      <c r="D187" s="29">
        <v>10330</v>
      </c>
      <c r="E187" s="30">
        <v>31356.799999999999</v>
      </c>
      <c r="F187" s="30">
        <v>41316.5</v>
      </c>
      <c r="G187" s="30">
        <v>8.1999999999999993</v>
      </c>
      <c r="H187" s="30">
        <v>12.2</v>
      </c>
      <c r="I187" s="33">
        <v>3.9</v>
      </c>
      <c r="J187" s="33">
        <v>71.798000000000002</v>
      </c>
      <c r="K187" s="33">
        <v>1.58</v>
      </c>
      <c r="L187" s="29">
        <v>201940</v>
      </c>
      <c r="M187" s="32">
        <v>34.1</v>
      </c>
      <c r="N187" s="32">
        <v>63</v>
      </c>
      <c r="O187" s="32">
        <v>6950</v>
      </c>
      <c r="P187" s="34">
        <v>42333.1</v>
      </c>
      <c r="Q187" s="34">
        <v>43631.7</v>
      </c>
      <c r="R187" s="34">
        <v>5047877</v>
      </c>
      <c r="S187" s="34">
        <v>20.8</v>
      </c>
      <c r="T187" s="34">
        <v>53.3</v>
      </c>
      <c r="U187" s="34">
        <v>25.9</v>
      </c>
      <c r="V187" s="34">
        <v>0.79600000000000004</v>
      </c>
      <c r="W187" s="34">
        <v>13.868029590000001</v>
      </c>
      <c r="X187" s="34">
        <v>11.413180349999999</v>
      </c>
      <c r="Y187" s="34">
        <v>23725.051049999998</v>
      </c>
      <c r="Z187" s="34">
        <v>0.996</v>
      </c>
      <c r="AA187" s="34">
        <v>0.20899999999999999</v>
      </c>
      <c r="AB187" s="34">
        <v>7.0860252829999997</v>
      </c>
      <c r="AC187" s="34">
        <v>38.604999999999997</v>
      </c>
      <c r="AD187" s="34">
        <v>6.1403878199999999</v>
      </c>
      <c r="AE187" s="34">
        <v>15.9277</v>
      </c>
    </row>
    <row r="188" spans="1:31" x14ac:dyDescent="0.3">
      <c r="A188" s="3" t="s">
        <v>42</v>
      </c>
      <c r="B188" s="27">
        <v>59664</v>
      </c>
      <c r="C188" s="29">
        <v>2061085</v>
      </c>
      <c r="D188" s="29">
        <v>18250</v>
      </c>
      <c r="E188" s="30">
        <v>18408</v>
      </c>
      <c r="F188" s="30">
        <v>20692.900000000001</v>
      </c>
      <c r="G188" s="30">
        <v>5.2</v>
      </c>
      <c r="H188" s="30">
        <v>4.4000000000000004</v>
      </c>
      <c r="I188" s="33">
        <v>3.2</v>
      </c>
      <c r="J188" s="33">
        <v>80.941000000000003</v>
      </c>
      <c r="K188" s="33">
        <v>1.58</v>
      </c>
      <c r="L188" s="29">
        <v>235310</v>
      </c>
      <c r="M188" s="32">
        <v>25.7</v>
      </c>
      <c r="N188" s="32">
        <v>102.4</v>
      </c>
      <c r="O188" s="32">
        <v>17620</v>
      </c>
      <c r="P188" s="34">
        <v>26117.4</v>
      </c>
      <c r="Q188" s="34">
        <v>28659.200000000001</v>
      </c>
      <c r="R188" s="34">
        <v>1307128</v>
      </c>
      <c r="S188" s="34">
        <v>18.399999999999999</v>
      </c>
      <c r="T188" s="34">
        <v>56.5</v>
      </c>
      <c r="U188" s="34">
        <v>25.1</v>
      </c>
      <c r="V188" s="34">
        <v>0.90300000000000002</v>
      </c>
      <c r="W188" s="34">
        <v>17.346290589999999</v>
      </c>
      <c r="X188" s="34">
        <v>12.428359990000001</v>
      </c>
      <c r="Y188" s="34">
        <v>32792.96228</v>
      </c>
      <c r="Z188" s="34">
        <v>0.997</v>
      </c>
      <c r="AA188" s="34">
        <v>6.7000000000000004E-2</v>
      </c>
      <c r="AB188" s="34">
        <v>5.0105505189999997</v>
      </c>
      <c r="AC188" s="34">
        <v>4.9660000000000002</v>
      </c>
      <c r="AD188" s="34">
        <v>6.5358276980000003</v>
      </c>
      <c r="AE188" s="34">
        <v>17.1648</v>
      </c>
    </row>
    <row r="189" spans="1:31" x14ac:dyDescent="0.3">
      <c r="A189" s="3" t="s">
        <v>194</v>
      </c>
      <c r="B189" s="27">
        <v>24631</v>
      </c>
      <c r="C189" s="29">
        <v>6951482</v>
      </c>
      <c r="D189" s="29">
        <v>8880</v>
      </c>
      <c r="E189" s="30">
        <v>27904.3</v>
      </c>
      <c r="F189" s="30">
        <v>35928.6</v>
      </c>
      <c r="G189" s="30">
        <v>6.7</v>
      </c>
      <c r="H189" s="30">
        <v>12.8</v>
      </c>
      <c r="I189" s="33">
        <v>3.2</v>
      </c>
      <c r="J189" s="33">
        <v>73.644999999999996</v>
      </c>
      <c r="K189" s="33">
        <v>1.56</v>
      </c>
      <c r="L189" s="29">
        <v>188729</v>
      </c>
      <c r="M189" s="32">
        <v>33.799999999999997</v>
      </c>
      <c r="N189" s="32">
        <v>63.4</v>
      </c>
      <c r="O189" s="32">
        <v>6400</v>
      </c>
      <c r="P189" s="34">
        <v>33390</v>
      </c>
      <c r="Q189" s="34">
        <v>34580.9</v>
      </c>
      <c r="R189" s="34">
        <v>3729017</v>
      </c>
      <c r="S189" s="34">
        <v>21.5</v>
      </c>
      <c r="T189" s="34">
        <v>52.9</v>
      </c>
      <c r="U189" s="34">
        <v>25.6</v>
      </c>
      <c r="V189" s="34">
        <v>0.80200000000000005</v>
      </c>
      <c r="W189" s="34">
        <v>14.03666973</v>
      </c>
      <c r="X189" s="34">
        <v>11.413180349999999</v>
      </c>
      <c r="Y189" s="34">
        <v>21652.934130000001</v>
      </c>
      <c r="Z189" s="34">
        <v>0.997</v>
      </c>
      <c r="AA189" s="34">
        <v>0.20399999999999999</v>
      </c>
      <c r="AB189" s="34">
        <v>7.0860252829999997</v>
      </c>
      <c r="AC189" s="34">
        <v>39.218000000000004</v>
      </c>
      <c r="AD189" s="34">
        <v>5.2346588240000003</v>
      </c>
      <c r="AE189" s="34">
        <v>14.180899999999999</v>
      </c>
    </row>
    <row r="190" spans="1:31" x14ac:dyDescent="0.3">
      <c r="A190" s="3" t="s">
        <v>241</v>
      </c>
      <c r="B190" s="27">
        <v>185345</v>
      </c>
      <c r="C190" s="29">
        <v>10298252</v>
      </c>
      <c r="D190" s="29">
        <v>20990</v>
      </c>
      <c r="E190" s="30">
        <v>104097.8</v>
      </c>
      <c r="F190" s="30">
        <v>137196.29999999999</v>
      </c>
      <c r="G190" s="30">
        <v>5.4</v>
      </c>
      <c r="H190" s="30">
        <v>5.9</v>
      </c>
      <c r="I190" s="33">
        <v>2.8</v>
      </c>
      <c r="J190" s="33">
        <v>81.043999999999997</v>
      </c>
      <c r="K190" s="33">
        <v>1.35</v>
      </c>
      <c r="L190" s="29">
        <v>1181027</v>
      </c>
      <c r="M190" s="32">
        <v>35</v>
      </c>
      <c r="N190" s="32">
        <v>113.2</v>
      </c>
      <c r="O190" s="32">
        <v>18090</v>
      </c>
      <c r="P190" s="34">
        <v>95547.8</v>
      </c>
      <c r="Q190" s="34">
        <v>89449.7</v>
      </c>
      <c r="R190" s="34">
        <v>22347692</v>
      </c>
      <c r="S190" s="34">
        <v>40.299999999999997</v>
      </c>
      <c r="T190" s="34">
        <v>31.4</v>
      </c>
      <c r="U190" s="34">
        <v>28.3</v>
      </c>
      <c r="V190" s="34">
        <v>0.86499999999999999</v>
      </c>
      <c r="W190" s="34">
        <v>16.82140923</v>
      </c>
      <c r="X190" s="34">
        <v>9.5759401319999995</v>
      </c>
      <c r="Y190" s="34">
        <v>33274.56076</v>
      </c>
      <c r="Z190" s="34">
        <v>0.998</v>
      </c>
      <c r="AA190" s="34">
        <v>7.5999999999999998E-2</v>
      </c>
      <c r="AB190" s="34">
        <v>11.799454880000001</v>
      </c>
      <c r="AC190" s="34">
        <v>7.444</v>
      </c>
      <c r="AD190" s="34">
        <v>3.8812342310000001</v>
      </c>
      <c r="AE190" s="34">
        <v>14.2866</v>
      </c>
    </row>
    <row r="191" spans="1:31" x14ac:dyDescent="0.3">
      <c r="A191" s="3" t="s">
        <v>100</v>
      </c>
      <c r="B191" s="27">
        <v>62522</v>
      </c>
      <c r="C191" s="29">
        <v>2064188</v>
      </c>
      <c r="D191" s="29">
        <v>19590</v>
      </c>
      <c r="E191" s="30">
        <v>19966</v>
      </c>
      <c r="F191" s="30">
        <v>21838.9</v>
      </c>
      <c r="G191" s="30">
        <v>6.3</v>
      </c>
      <c r="H191" s="30">
        <v>4.9000000000000004</v>
      </c>
      <c r="I191" s="33">
        <v>3.2</v>
      </c>
      <c r="J191" s="33">
        <v>81.158000000000001</v>
      </c>
      <c r="K191" s="33">
        <v>1.58</v>
      </c>
      <c r="L191" s="29">
        <v>241203</v>
      </c>
      <c r="M191" s="32">
        <v>27.6</v>
      </c>
      <c r="N191" s="32">
        <v>102.5</v>
      </c>
      <c r="O191" s="32">
        <v>18550</v>
      </c>
      <c r="P191" s="34">
        <v>27929.9</v>
      </c>
      <c r="Q191" s="34">
        <v>31383.200000000001</v>
      </c>
      <c r="R191" s="34">
        <v>1404152</v>
      </c>
      <c r="S191" s="34">
        <v>17.2</v>
      </c>
      <c r="T191" s="34">
        <v>55.6</v>
      </c>
      <c r="U191" s="34">
        <v>27.2</v>
      </c>
      <c r="V191" s="34">
        <v>0.90900000000000003</v>
      </c>
      <c r="W191" s="34">
        <v>17.457500459999999</v>
      </c>
      <c r="X191" s="34">
        <v>12.667550090000001</v>
      </c>
      <c r="Y191" s="34">
        <v>33966.208879999998</v>
      </c>
      <c r="Z191" s="34">
        <v>0.999</v>
      </c>
      <c r="AA191" s="34">
        <v>5.7000000000000002E-2</v>
      </c>
      <c r="AB191" s="34">
        <v>4.6334015859999997</v>
      </c>
      <c r="AC191" s="34">
        <v>4.2919999999999998</v>
      </c>
      <c r="AD191" s="34">
        <v>6.9178285380000002</v>
      </c>
      <c r="AE191" s="34">
        <v>17.4754</v>
      </c>
    </row>
    <row r="192" spans="1:31" x14ac:dyDescent="0.3">
      <c r="A192" s="3" t="s">
        <v>223</v>
      </c>
      <c r="B192" s="27">
        <v>51323</v>
      </c>
      <c r="C192" s="29">
        <v>4036355</v>
      </c>
      <c r="D192" s="29">
        <v>14770</v>
      </c>
      <c r="E192" s="30">
        <v>26510.2</v>
      </c>
      <c r="F192" s="30">
        <v>33647.599999999999</v>
      </c>
      <c r="G192" s="30">
        <v>7.4</v>
      </c>
      <c r="H192" s="30">
        <v>2.4</v>
      </c>
      <c r="I192" s="33">
        <v>4.5999999999999996</v>
      </c>
      <c r="J192" s="33">
        <v>77.58</v>
      </c>
      <c r="K192" s="33">
        <v>1.58</v>
      </c>
      <c r="L192" s="29">
        <v>532315</v>
      </c>
      <c r="M192" s="32">
        <v>33.299999999999997</v>
      </c>
      <c r="N192" s="32">
        <v>72.400000000000006</v>
      </c>
      <c r="O192" s="32">
        <v>13610</v>
      </c>
      <c r="P192" s="34">
        <v>30673.7</v>
      </c>
      <c r="Q192" s="34">
        <v>29068.400000000001</v>
      </c>
      <c r="R192" s="34">
        <v>4458400</v>
      </c>
      <c r="S192" s="34">
        <v>17</v>
      </c>
      <c r="T192" s="34">
        <v>61.3</v>
      </c>
      <c r="U192" s="34">
        <v>21.8</v>
      </c>
      <c r="V192" s="34">
        <v>0.86699999999999999</v>
      </c>
      <c r="W192" s="34">
        <v>15.572699549999999</v>
      </c>
      <c r="X192" s="34">
        <v>12.32871821</v>
      </c>
      <c r="Y192" s="34">
        <v>32072.960490000001</v>
      </c>
      <c r="Z192" s="34">
        <v>0.999</v>
      </c>
      <c r="AA192" s="34">
        <v>9.1999999999999998E-2</v>
      </c>
      <c r="AB192" s="34">
        <v>4.8168215539999997</v>
      </c>
      <c r="AC192" s="34">
        <v>8.6370000000000005</v>
      </c>
      <c r="AD192" s="34">
        <v>4.2881825359999999</v>
      </c>
      <c r="AE192" s="34">
        <v>14.4163</v>
      </c>
    </row>
    <row r="193" spans="1:31" x14ac:dyDescent="0.3">
      <c r="A193" s="3" t="s">
        <v>71</v>
      </c>
      <c r="B193" s="27">
        <v>58963</v>
      </c>
      <c r="C193" s="29">
        <v>2062874</v>
      </c>
      <c r="D193" s="29">
        <v>18830</v>
      </c>
      <c r="E193" s="30">
        <v>18935.400000000001</v>
      </c>
      <c r="F193" s="30">
        <v>20985</v>
      </c>
      <c r="G193" s="30">
        <v>5.8</v>
      </c>
      <c r="H193" s="30">
        <v>5</v>
      </c>
      <c r="I193" s="33">
        <v>3.1</v>
      </c>
      <c r="J193" s="33">
        <v>80.822000000000003</v>
      </c>
      <c r="K193" s="33">
        <v>1.57</v>
      </c>
      <c r="L193" s="29">
        <v>237616</v>
      </c>
      <c r="M193" s="32">
        <v>26.6</v>
      </c>
      <c r="N193" s="32">
        <v>102.4</v>
      </c>
      <c r="O193" s="32">
        <v>17990</v>
      </c>
      <c r="P193" s="34">
        <v>26865.5</v>
      </c>
      <c r="Q193" s="34">
        <v>29974.3</v>
      </c>
      <c r="R193" s="34">
        <v>1436003</v>
      </c>
      <c r="S193" s="34">
        <v>17.399999999999999</v>
      </c>
      <c r="T193" s="34">
        <v>55.9</v>
      </c>
      <c r="U193" s="34">
        <v>26.6</v>
      </c>
      <c r="V193" s="34">
        <v>0.90300000000000002</v>
      </c>
      <c r="W193" s="34">
        <v>17.271780010000001</v>
      </c>
      <c r="X193" s="34">
        <v>12.56729984</v>
      </c>
      <c r="Y193" s="34">
        <v>32757.596420000002</v>
      </c>
      <c r="Z193" s="34">
        <v>1</v>
      </c>
      <c r="AA193" s="34">
        <v>6.2E-2</v>
      </c>
      <c r="AB193" s="34">
        <v>5.0382833539999998</v>
      </c>
      <c r="AC193" s="34">
        <v>4.6790000000000003</v>
      </c>
      <c r="AD193" s="34">
        <v>6.5576189100000004</v>
      </c>
      <c r="AE193" s="34">
        <v>16.995000000000001</v>
      </c>
    </row>
    <row r="194" spans="1:31" x14ac:dyDescent="0.3">
      <c r="A194" s="3" t="s">
        <v>187</v>
      </c>
      <c r="B194" s="27">
        <v>40200</v>
      </c>
      <c r="C194" s="29">
        <v>2080908</v>
      </c>
      <c r="D194" s="29">
        <v>23260</v>
      </c>
      <c r="E194" s="30">
        <v>24581.7</v>
      </c>
      <c r="F194" s="30">
        <v>25490.7</v>
      </c>
      <c r="G194" s="30">
        <v>4.9000000000000004</v>
      </c>
      <c r="H194" s="30">
        <v>4.5999999999999996</v>
      </c>
      <c r="I194" s="33">
        <v>4.4000000000000004</v>
      </c>
      <c r="J194" s="33">
        <v>81.603999999999999</v>
      </c>
      <c r="K194" s="33">
        <v>1.61</v>
      </c>
      <c r="L194" s="29">
        <v>265072</v>
      </c>
      <c r="M194" s="32">
        <v>30.5</v>
      </c>
      <c r="N194" s="32">
        <v>103.7</v>
      </c>
      <c r="O194" s="32">
        <v>20780</v>
      </c>
      <c r="P194" s="34">
        <v>36448.300000000003</v>
      </c>
      <c r="Q194" s="34">
        <v>40621.9</v>
      </c>
      <c r="R194" s="34">
        <v>1719039</v>
      </c>
      <c r="S194" s="34">
        <v>15.8</v>
      </c>
      <c r="T194" s="34">
        <v>54.9</v>
      </c>
      <c r="U194" s="34">
        <v>29.3</v>
      </c>
      <c r="V194" s="34">
        <v>0.91800000000000004</v>
      </c>
      <c r="W194" s="34">
        <v>17.325189590000001</v>
      </c>
      <c r="X194" s="34">
        <v>12.803680419999999</v>
      </c>
      <c r="Y194" s="34">
        <v>38436.087619999998</v>
      </c>
      <c r="Z194" s="34">
        <v>1</v>
      </c>
      <c r="AA194" s="34">
        <v>7.0000000000000007E-2</v>
      </c>
      <c r="AB194" s="34">
        <v>3.4677720490000001</v>
      </c>
      <c r="AC194" s="34">
        <v>4.4580000000000002</v>
      </c>
      <c r="AD194" s="34">
        <v>6.6446085259999998</v>
      </c>
      <c r="AE194" s="34">
        <v>15.832100000000001</v>
      </c>
    </row>
    <row r="195" spans="1:31" x14ac:dyDescent="0.3">
      <c r="A195" s="3" t="s">
        <v>129</v>
      </c>
      <c r="B195" s="27">
        <v>65115</v>
      </c>
      <c r="C195" s="29">
        <v>2065895</v>
      </c>
      <c r="D195" s="29">
        <v>20820</v>
      </c>
      <c r="E195" s="30">
        <v>21246</v>
      </c>
      <c r="F195" s="30">
        <v>22598.400000000001</v>
      </c>
      <c r="G195" s="30">
        <v>5</v>
      </c>
      <c r="H195" s="30">
        <v>4.3</v>
      </c>
      <c r="I195" s="33">
        <v>3.1</v>
      </c>
      <c r="J195" s="33">
        <v>81.070999999999998</v>
      </c>
      <c r="K195" s="33">
        <v>1.62</v>
      </c>
      <c r="L195" s="29">
        <v>245369</v>
      </c>
      <c r="M195" s="32">
        <v>28.6</v>
      </c>
      <c r="N195" s="32">
        <v>102.6</v>
      </c>
      <c r="O195" s="32">
        <v>19440</v>
      </c>
      <c r="P195" s="34">
        <v>31892.400000000001</v>
      </c>
      <c r="Q195" s="34">
        <v>35753.4</v>
      </c>
      <c r="R195" s="34">
        <v>1682133</v>
      </c>
      <c r="S195" s="34">
        <v>16.7</v>
      </c>
      <c r="T195" s="34">
        <v>54.6</v>
      </c>
      <c r="U195" s="34">
        <v>28.7</v>
      </c>
      <c r="V195" s="34">
        <v>0.91200000000000003</v>
      </c>
      <c r="W195" s="34">
        <v>17.472660059999999</v>
      </c>
      <c r="X195" s="34">
        <v>12.70028973</v>
      </c>
      <c r="Y195" s="34">
        <v>35849.555650000002</v>
      </c>
      <c r="Z195" s="34">
        <v>1.0009999999999999</v>
      </c>
      <c r="AA195" s="34">
        <v>5.3999999999999999E-2</v>
      </c>
      <c r="AB195" s="34">
        <v>4.4343641099999997</v>
      </c>
      <c r="AC195" s="34">
        <v>4.1820000000000004</v>
      </c>
      <c r="AD195" s="34">
        <v>6.9656670439999999</v>
      </c>
      <c r="AE195" s="34">
        <v>17.0182</v>
      </c>
    </row>
    <row r="196" spans="1:31" x14ac:dyDescent="0.3">
      <c r="A196" s="3" t="s">
        <v>158</v>
      </c>
      <c r="B196" s="27">
        <v>59862</v>
      </c>
      <c r="C196" s="29">
        <v>2066880</v>
      </c>
      <c r="D196" s="29">
        <v>22140</v>
      </c>
      <c r="E196" s="30">
        <v>22818.3</v>
      </c>
      <c r="F196" s="30">
        <v>23856.400000000001</v>
      </c>
      <c r="G196" s="30">
        <v>4.4000000000000004</v>
      </c>
      <c r="H196" s="30">
        <v>4.2</v>
      </c>
      <c r="I196" s="33">
        <v>4.4000000000000004</v>
      </c>
      <c r="J196" s="33">
        <v>81.358000000000004</v>
      </c>
      <c r="K196" s="33">
        <v>1.6</v>
      </c>
      <c r="L196" s="29">
        <v>250226</v>
      </c>
      <c r="M196" s="32">
        <v>29.6</v>
      </c>
      <c r="N196" s="32">
        <v>102.9</v>
      </c>
      <c r="O196" s="32">
        <v>20240</v>
      </c>
      <c r="P196" s="34">
        <v>35026.5</v>
      </c>
      <c r="Q196" s="34">
        <v>38899.800000000003</v>
      </c>
      <c r="R196" s="34">
        <v>1810567</v>
      </c>
      <c r="S196" s="34">
        <v>16.399999999999999</v>
      </c>
      <c r="T196" s="34">
        <v>54.9</v>
      </c>
      <c r="U196" s="34">
        <v>28.7</v>
      </c>
      <c r="V196" s="34">
        <v>0.91600000000000004</v>
      </c>
      <c r="W196" s="34">
        <v>17.444259639999999</v>
      </c>
      <c r="X196" s="34">
        <v>12.75198507</v>
      </c>
      <c r="Y196" s="34">
        <v>37430.81884</v>
      </c>
      <c r="Z196" s="34">
        <v>1.0009999999999999</v>
      </c>
      <c r="AA196" s="34">
        <v>7.3999999999999996E-2</v>
      </c>
      <c r="AB196" s="34">
        <v>4.3661762639999999</v>
      </c>
      <c r="AC196" s="34">
        <v>4.1669999999999998</v>
      </c>
      <c r="AD196" s="34">
        <v>6.8947882260000002</v>
      </c>
      <c r="AE196" s="34">
        <v>17.7027</v>
      </c>
    </row>
    <row r="197" spans="1:31" x14ac:dyDescent="0.3">
      <c r="A197" s="3" t="s">
        <v>243</v>
      </c>
      <c r="B197" s="27">
        <v>90074</v>
      </c>
      <c r="C197" s="29">
        <v>5459781</v>
      </c>
      <c r="D197" s="29">
        <v>18430</v>
      </c>
      <c r="E197" s="30">
        <v>43385.1</v>
      </c>
      <c r="F197" s="30">
        <v>56963.6</v>
      </c>
      <c r="G197" s="30">
        <v>4.5</v>
      </c>
      <c r="H197" s="30">
        <v>7.8</v>
      </c>
      <c r="I197" s="33">
        <v>4.8</v>
      </c>
      <c r="J197" s="33">
        <v>74.91</v>
      </c>
      <c r="K197" s="33">
        <v>1.63</v>
      </c>
      <c r="L197" s="29">
        <v>201941</v>
      </c>
      <c r="M197" s="32">
        <v>25.5</v>
      </c>
      <c r="N197" s="32">
        <v>112.1</v>
      </c>
      <c r="O197" s="32">
        <v>16200</v>
      </c>
      <c r="P197" s="34">
        <v>92365.9</v>
      </c>
      <c r="Q197" s="34">
        <v>92285.8</v>
      </c>
      <c r="R197" s="34">
        <v>642078</v>
      </c>
      <c r="S197" s="34">
        <v>13.2</v>
      </c>
      <c r="T197" s="34">
        <v>62.1</v>
      </c>
      <c r="U197" s="34">
        <v>24.7</v>
      </c>
      <c r="V197" s="34">
        <v>0.85199999999999998</v>
      </c>
      <c r="W197" s="34">
        <v>14.72154999</v>
      </c>
      <c r="X197" s="34">
        <v>13.007195749999999</v>
      </c>
      <c r="Y197" s="34">
        <v>31553.20391</v>
      </c>
      <c r="Z197" s="34">
        <v>1.002</v>
      </c>
      <c r="AA197" s="34">
        <v>0.18</v>
      </c>
      <c r="AB197" s="34">
        <v>4.8246658760000001</v>
      </c>
      <c r="AC197" s="34">
        <v>26.306999999999999</v>
      </c>
      <c r="AD197" s="34">
        <v>6.4554405570000002</v>
      </c>
      <c r="AE197" s="34">
        <v>14.6396</v>
      </c>
    </row>
    <row r="198" spans="1:31" x14ac:dyDescent="0.3">
      <c r="A198" s="3" t="s">
        <v>216</v>
      </c>
      <c r="B198" s="27">
        <v>42071</v>
      </c>
      <c r="C198" s="29">
        <v>2095861</v>
      </c>
      <c r="D198" s="29">
        <v>22370</v>
      </c>
      <c r="E198" s="30">
        <v>25209.200000000001</v>
      </c>
      <c r="F198" s="30">
        <v>23707.9</v>
      </c>
      <c r="G198" s="30">
        <v>3.8</v>
      </c>
      <c r="H198" s="30">
        <v>4.0999999999999996</v>
      </c>
      <c r="I198" s="33">
        <v>2.5</v>
      </c>
      <c r="J198" s="33">
        <v>80.441000000000003</v>
      </c>
      <c r="K198" s="33">
        <v>1.59</v>
      </c>
      <c r="L198" s="29">
        <v>281621</v>
      </c>
      <c r="M198" s="32">
        <v>31.3</v>
      </c>
      <c r="N198" s="32">
        <v>103.7</v>
      </c>
      <c r="O198" s="32">
        <v>19770</v>
      </c>
      <c r="P198" s="34">
        <v>32378.9</v>
      </c>
      <c r="Q198" s="34">
        <v>36582.5</v>
      </c>
      <c r="R198" s="34">
        <v>287787</v>
      </c>
      <c r="S198" s="34">
        <v>14.5</v>
      </c>
      <c r="T198" s="34">
        <v>54</v>
      </c>
      <c r="U198" s="34">
        <v>31.5</v>
      </c>
      <c r="V198" s="34">
        <v>0.91</v>
      </c>
      <c r="W198" s="34">
        <v>17.262269969999998</v>
      </c>
      <c r="X198" s="34">
        <v>12.880157240000001</v>
      </c>
      <c r="Y198" s="34">
        <v>36848.415800000002</v>
      </c>
      <c r="Z198" s="34">
        <v>1.0029999999999999</v>
      </c>
      <c r="AA198" s="34">
        <v>6.9000000000000006E-2</v>
      </c>
      <c r="AB198" s="34">
        <v>4.5331440560000003</v>
      </c>
      <c r="AC198" s="34">
        <v>4.3869999999999996</v>
      </c>
      <c r="AD198" s="34">
        <v>6.0703868119999997</v>
      </c>
      <c r="AE198" s="34">
        <v>15.663500000000001</v>
      </c>
    </row>
    <row r="199" spans="1:31" x14ac:dyDescent="0.3">
      <c r="A199" s="3" t="s">
        <v>38</v>
      </c>
      <c r="B199" s="27">
        <v>352378</v>
      </c>
      <c r="C199" s="29">
        <v>38017856</v>
      </c>
      <c r="D199" s="29">
        <v>10560</v>
      </c>
      <c r="E199" s="30">
        <v>155702.70000000001</v>
      </c>
      <c r="F199" s="30">
        <v>244945.4</v>
      </c>
      <c r="G199" s="30">
        <v>8.4</v>
      </c>
      <c r="H199" s="30">
        <v>5.4</v>
      </c>
      <c r="I199" s="33">
        <v>5</v>
      </c>
      <c r="J199" s="33">
        <v>77.569000000000003</v>
      </c>
      <c r="K199" s="33">
        <v>1.32</v>
      </c>
      <c r="L199" s="29">
        <v>620308</v>
      </c>
      <c r="M199" s="32">
        <v>21.2</v>
      </c>
      <c r="N199" s="32">
        <v>123.7</v>
      </c>
      <c r="O199" s="32">
        <v>10420</v>
      </c>
      <c r="P199" s="34">
        <v>187274.3</v>
      </c>
      <c r="Q199" s="34">
        <v>188936.3</v>
      </c>
      <c r="R199" s="34">
        <v>25714422</v>
      </c>
      <c r="S199" s="34">
        <v>15.5</v>
      </c>
      <c r="T199" s="34">
        <v>60.7</v>
      </c>
      <c r="U199" s="34">
        <v>23.8</v>
      </c>
      <c r="V199" s="34">
        <v>0.86699999999999999</v>
      </c>
      <c r="W199" s="34">
        <v>16.206090929999998</v>
      </c>
      <c r="X199" s="34">
        <v>12.83730984</v>
      </c>
      <c r="Y199" s="34">
        <v>25494.044590000001</v>
      </c>
      <c r="Z199" s="34">
        <v>1.004</v>
      </c>
      <c r="AA199" s="34">
        <v>0.14499999999999999</v>
      </c>
      <c r="AB199" s="34">
        <v>2.1656344820000002</v>
      </c>
      <c r="AC199" s="34">
        <v>13.708</v>
      </c>
      <c r="AD199" s="34">
        <v>8.024037818</v>
      </c>
      <c r="AE199" s="34">
        <v>14.7818</v>
      </c>
    </row>
    <row r="200" spans="1:31" x14ac:dyDescent="0.3">
      <c r="A200" s="3" t="s">
        <v>244</v>
      </c>
      <c r="B200" s="27">
        <v>55924</v>
      </c>
      <c r="C200" s="29">
        <v>2108977</v>
      </c>
      <c r="D200" s="29">
        <v>24800</v>
      </c>
      <c r="E200" s="30">
        <v>27556.3</v>
      </c>
      <c r="F200" s="30">
        <v>27016.799999999999</v>
      </c>
      <c r="G200" s="30">
        <v>5.4</v>
      </c>
      <c r="H200" s="30">
        <v>3.1</v>
      </c>
      <c r="I200" s="33">
        <v>2.8</v>
      </c>
      <c r="J200" s="33">
        <v>80.69</v>
      </c>
      <c r="K200" s="33">
        <v>1.64</v>
      </c>
      <c r="L200" s="29">
        <v>292824</v>
      </c>
      <c r="M200" s="32">
        <v>32.1</v>
      </c>
      <c r="N200" s="32">
        <v>104.4</v>
      </c>
      <c r="O200" s="32">
        <v>21350</v>
      </c>
      <c r="P200" s="34">
        <v>40632.5</v>
      </c>
      <c r="Q200" s="34">
        <v>43685.7</v>
      </c>
      <c r="R200" s="34">
        <v>419346</v>
      </c>
      <c r="S200" s="34">
        <v>13.3</v>
      </c>
      <c r="T200" s="34">
        <v>51.4</v>
      </c>
      <c r="U200" s="34">
        <v>35.4</v>
      </c>
      <c r="V200" s="34">
        <v>0.91600000000000004</v>
      </c>
      <c r="W200" s="34">
        <v>17.406579969999999</v>
      </c>
      <c r="X200" s="34">
        <v>12.880157240000001</v>
      </c>
      <c r="Y200" s="34">
        <v>39478.01384</v>
      </c>
      <c r="Z200" s="34">
        <v>1.0049999999999999</v>
      </c>
      <c r="AA200" s="34">
        <v>7.1999999999999995E-2</v>
      </c>
      <c r="AB200" s="34">
        <v>4.5331440560000003</v>
      </c>
      <c r="AC200" s="34">
        <v>4.4779999999999998</v>
      </c>
      <c r="AD200" s="34">
        <v>6.1620922800000004</v>
      </c>
      <c r="AE200" s="34">
        <v>17.3735</v>
      </c>
    </row>
    <row r="201" spans="1:31" x14ac:dyDescent="0.3">
      <c r="A201" s="3" t="s">
        <v>67</v>
      </c>
      <c r="B201" s="27">
        <v>418033</v>
      </c>
      <c r="C201" s="29">
        <v>38005614</v>
      </c>
      <c r="D201" s="29">
        <v>11180</v>
      </c>
      <c r="E201" s="30">
        <v>162123.5</v>
      </c>
      <c r="F201" s="30">
        <v>253236.3</v>
      </c>
      <c r="G201" s="30">
        <v>7.7</v>
      </c>
      <c r="H201" s="30">
        <v>5.3</v>
      </c>
      <c r="I201" s="33">
        <v>5</v>
      </c>
      <c r="J201" s="33">
        <v>77.415000000000006</v>
      </c>
      <c r="K201" s="33">
        <v>1.32</v>
      </c>
      <c r="L201" s="29">
        <v>611855</v>
      </c>
      <c r="M201" s="32">
        <v>22.2</v>
      </c>
      <c r="N201" s="32">
        <v>123.6</v>
      </c>
      <c r="O201" s="32">
        <v>10890</v>
      </c>
      <c r="P201" s="34">
        <v>195009.4</v>
      </c>
      <c r="Q201" s="34">
        <v>203957.8</v>
      </c>
      <c r="R201" s="34">
        <v>28907439</v>
      </c>
      <c r="S201" s="34">
        <v>15.2</v>
      </c>
      <c r="T201" s="34">
        <v>60.3</v>
      </c>
      <c r="U201" s="34">
        <v>24.4</v>
      </c>
      <c r="V201" s="34">
        <v>0.86899999999999999</v>
      </c>
      <c r="W201" s="34">
        <v>16.155487059999999</v>
      </c>
      <c r="X201" s="34">
        <v>12.92106485</v>
      </c>
      <c r="Y201" s="34">
        <v>26636.076980000002</v>
      </c>
      <c r="Z201" s="34">
        <v>1.006</v>
      </c>
      <c r="AA201" s="34">
        <v>0.13400000000000001</v>
      </c>
      <c r="AB201" s="34">
        <v>2.1005838309999998</v>
      </c>
      <c r="AC201" s="34">
        <v>12.792</v>
      </c>
      <c r="AD201" s="34">
        <v>8.1112809830000003</v>
      </c>
      <c r="AE201" s="34">
        <v>15.026300000000001</v>
      </c>
    </row>
    <row r="202" spans="1:31" x14ac:dyDescent="0.3">
      <c r="A202" s="3" t="s">
        <v>96</v>
      </c>
      <c r="B202" s="27">
        <v>487593</v>
      </c>
      <c r="C202" s="29">
        <v>37967209</v>
      </c>
      <c r="D202" s="29">
        <v>11050</v>
      </c>
      <c r="E202" s="30">
        <v>165474.4</v>
      </c>
      <c r="F202" s="30">
        <v>249871.9</v>
      </c>
      <c r="G202" s="30">
        <v>8</v>
      </c>
      <c r="H202" s="30">
        <v>5.2</v>
      </c>
      <c r="I202" s="33">
        <v>5.0999999999999996</v>
      </c>
      <c r="J202" s="33">
        <v>77.802000000000007</v>
      </c>
      <c r="K202" s="33">
        <v>1.39</v>
      </c>
      <c r="L202" s="29">
        <v>626396</v>
      </c>
      <c r="M202" s="32">
        <v>23.1</v>
      </c>
      <c r="N202" s="32">
        <v>123.6</v>
      </c>
      <c r="O202" s="32">
        <v>11220</v>
      </c>
      <c r="P202" s="34">
        <v>200779.2</v>
      </c>
      <c r="Q202" s="34">
        <v>213507.3</v>
      </c>
      <c r="R202" s="34">
        <v>32266861</v>
      </c>
      <c r="S202" s="34">
        <v>14.6</v>
      </c>
      <c r="T202" s="34">
        <v>60.2</v>
      </c>
      <c r="U202" s="34">
        <v>25.2</v>
      </c>
      <c r="V202" s="34">
        <v>0.872</v>
      </c>
      <c r="W202" s="34">
        <v>16.104883189999999</v>
      </c>
      <c r="X202" s="34">
        <v>13.00481987</v>
      </c>
      <c r="Y202" s="34">
        <v>27393.156220000001</v>
      </c>
      <c r="Z202" s="34">
        <v>1.0069999999999999</v>
      </c>
      <c r="AA202" s="34">
        <v>0.13200000000000001</v>
      </c>
      <c r="AB202" s="34">
        <v>1.9821322690000001</v>
      </c>
      <c r="AC202" s="34">
        <v>12.284000000000001</v>
      </c>
      <c r="AD202" s="34">
        <v>8.3968143659999992</v>
      </c>
      <c r="AE202" s="34">
        <v>15.4969</v>
      </c>
    </row>
    <row r="203" spans="1:31" x14ac:dyDescent="0.3">
      <c r="A203" s="3" t="s">
        <v>125</v>
      </c>
      <c r="B203" s="27">
        <v>531335</v>
      </c>
      <c r="C203" s="29">
        <v>37972964</v>
      </c>
      <c r="D203" s="29">
        <v>12120</v>
      </c>
      <c r="E203" s="30">
        <v>182239.6</v>
      </c>
      <c r="F203" s="30">
        <v>276923.7</v>
      </c>
      <c r="G203" s="30">
        <v>7.5</v>
      </c>
      <c r="H203" s="30">
        <v>5</v>
      </c>
      <c r="I203" s="33">
        <v>5.0999999999999996</v>
      </c>
      <c r="J203" s="33">
        <v>77.721000000000004</v>
      </c>
      <c r="K203" s="33">
        <v>1.48</v>
      </c>
      <c r="L203" s="29">
        <v>651845</v>
      </c>
      <c r="M203" s="32">
        <v>24.2</v>
      </c>
      <c r="N203" s="32">
        <v>123.6</v>
      </c>
      <c r="O203" s="32">
        <v>11800</v>
      </c>
      <c r="P203" s="34">
        <v>229279.1</v>
      </c>
      <c r="Q203" s="34">
        <v>242461.1</v>
      </c>
      <c r="R203" s="34">
        <v>37684668</v>
      </c>
      <c r="S203" s="34">
        <v>13.9</v>
      </c>
      <c r="T203" s="34">
        <v>59.8</v>
      </c>
      <c r="U203" s="34">
        <v>26.3</v>
      </c>
      <c r="V203" s="34">
        <v>0.874</v>
      </c>
      <c r="W203" s="34">
        <v>16.05427933</v>
      </c>
      <c r="X203" s="34">
        <v>13.044802430000001</v>
      </c>
      <c r="Y203" s="34">
        <v>28688.34159</v>
      </c>
      <c r="Z203" s="34">
        <v>1.0069999999999999</v>
      </c>
      <c r="AA203" s="34">
        <v>0.125</v>
      </c>
      <c r="AB203" s="34">
        <v>1.8847573719999999</v>
      </c>
      <c r="AC203" s="34">
        <v>11.378</v>
      </c>
      <c r="AD203" s="34">
        <v>8.7397047479999994</v>
      </c>
      <c r="AE203" s="34">
        <v>15.3504</v>
      </c>
    </row>
    <row r="204" spans="1:31" x14ac:dyDescent="0.3">
      <c r="A204" s="3" t="s">
        <v>183</v>
      </c>
      <c r="B204" s="27">
        <v>428527</v>
      </c>
      <c r="C204" s="29">
        <v>37972812</v>
      </c>
      <c r="D204" s="29">
        <v>13870</v>
      </c>
      <c r="E204" s="30">
        <v>213084.7</v>
      </c>
      <c r="F204" s="30">
        <v>307678.7</v>
      </c>
      <c r="G204" s="30">
        <v>7.7</v>
      </c>
      <c r="H204" s="30">
        <v>5.2</v>
      </c>
      <c r="I204" s="33">
        <v>4.4000000000000004</v>
      </c>
      <c r="J204" s="33">
        <v>77.927000000000007</v>
      </c>
      <c r="K204" s="33">
        <v>1.44</v>
      </c>
      <c r="L204" s="29">
        <v>760849</v>
      </c>
      <c r="M204" s="32">
        <v>26.4</v>
      </c>
      <c r="N204" s="32">
        <v>123.6</v>
      </c>
      <c r="O204" s="32">
        <v>13070</v>
      </c>
      <c r="P204" s="34">
        <v>263554.5</v>
      </c>
      <c r="Q204" s="34">
        <v>283267.59999999998</v>
      </c>
      <c r="R204" s="34">
        <v>46942771</v>
      </c>
      <c r="S204" s="34">
        <v>13.3</v>
      </c>
      <c r="T204" s="34">
        <v>58.5</v>
      </c>
      <c r="U204" s="34">
        <v>28.2</v>
      </c>
      <c r="V204" s="34">
        <v>0.88</v>
      </c>
      <c r="W204" s="34">
        <v>15.873809809999999</v>
      </c>
      <c r="X204" s="34">
        <v>13.124767540000001</v>
      </c>
      <c r="Y204" s="34">
        <v>31772.48863</v>
      </c>
      <c r="Z204" s="34">
        <v>1.0069999999999999</v>
      </c>
      <c r="AA204" s="34">
        <v>0.111</v>
      </c>
      <c r="AB204" s="34">
        <v>1.889525825</v>
      </c>
      <c r="AC204" s="34">
        <v>9.8559999999999999</v>
      </c>
      <c r="AD204" s="34">
        <v>8.2528651970000002</v>
      </c>
      <c r="AE204" s="34">
        <v>15.0474</v>
      </c>
    </row>
    <row r="205" spans="1:31" x14ac:dyDescent="0.3">
      <c r="A205" s="3" t="s">
        <v>154</v>
      </c>
      <c r="B205" s="27">
        <v>553942</v>
      </c>
      <c r="C205" s="29">
        <v>37976687</v>
      </c>
      <c r="D205" s="29">
        <v>12990</v>
      </c>
      <c r="E205" s="30">
        <v>197196.3</v>
      </c>
      <c r="F205" s="30">
        <v>293682.3</v>
      </c>
      <c r="G205" s="30">
        <v>7.5</v>
      </c>
      <c r="H205" s="30">
        <v>4.8</v>
      </c>
      <c r="I205" s="33">
        <v>4.4000000000000004</v>
      </c>
      <c r="J205" s="33">
        <v>77.628</v>
      </c>
      <c r="K205" s="33">
        <v>1.46</v>
      </c>
      <c r="L205" s="29">
        <v>695850</v>
      </c>
      <c r="M205" s="32">
        <v>25.3</v>
      </c>
      <c r="N205" s="32">
        <v>123.6</v>
      </c>
      <c r="O205" s="32">
        <v>12500</v>
      </c>
      <c r="P205" s="34">
        <v>253007.4</v>
      </c>
      <c r="Q205" s="34">
        <v>263214.8</v>
      </c>
      <c r="R205" s="34">
        <v>43767548</v>
      </c>
      <c r="S205" s="34">
        <v>13.5</v>
      </c>
      <c r="T205" s="34">
        <v>59.3</v>
      </c>
      <c r="U205" s="34">
        <v>27.2</v>
      </c>
      <c r="V205" s="34">
        <v>0.876</v>
      </c>
      <c r="W205" s="34">
        <v>15.92910004</v>
      </c>
      <c r="X205" s="34">
        <v>13.08478498</v>
      </c>
      <c r="Y205" s="34">
        <v>30407.509310000001</v>
      </c>
      <c r="Z205" s="34">
        <v>1.008</v>
      </c>
      <c r="AA205" s="34">
        <v>0.121</v>
      </c>
      <c r="AB205" s="34">
        <v>1.8650669950000001</v>
      </c>
      <c r="AC205" s="34">
        <v>10.680999999999999</v>
      </c>
      <c r="AD205" s="34">
        <v>8.7245116399999993</v>
      </c>
      <c r="AE205" s="34">
        <v>16.420200000000001</v>
      </c>
    </row>
    <row r="206" spans="1:31" x14ac:dyDescent="0.3">
      <c r="A206" s="3" t="s">
        <v>212</v>
      </c>
      <c r="B206" s="27">
        <v>446461</v>
      </c>
      <c r="C206" s="29">
        <v>37958138</v>
      </c>
      <c r="D206" s="29">
        <v>13720</v>
      </c>
      <c r="E206" s="30">
        <v>215538.6</v>
      </c>
      <c r="F206" s="30">
        <v>297428.5</v>
      </c>
      <c r="G206" s="30">
        <v>6.6</v>
      </c>
      <c r="H206" s="30">
        <v>5.4</v>
      </c>
      <c r="I206" s="33">
        <v>3.8</v>
      </c>
      <c r="J206" s="33">
        <v>76.941999999999993</v>
      </c>
      <c r="K206" s="33">
        <v>1.39</v>
      </c>
      <c r="L206" s="29">
        <v>849320</v>
      </c>
      <c r="M206" s="32">
        <v>27.5</v>
      </c>
      <c r="N206" s="32">
        <v>123.6</v>
      </c>
      <c r="O206" s="32">
        <v>12810</v>
      </c>
      <c r="P206" s="34">
        <v>249042.8</v>
      </c>
      <c r="Q206" s="34">
        <v>278810.3</v>
      </c>
      <c r="R206" s="34">
        <v>13825460</v>
      </c>
      <c r="S206" s="34">
        <v>12.9</v>
      </c>
      <c r="T206" s="34">
        <v>58.1</v>
      </c>
      <c r="U206" s="34">
        <v>28.9</v>
      </c>
      <c r="V206" s="34">
        <v>0.874</v>
      </c>
      <c r="W206" s="34">
        <v>15.84399033</v>
      </c>
      <c r="X206" s="34">
        <v>13.164750099999999</v>
      </c>
      <c r="Y206" s="34">
        <v>31292.87084</v>
      </c>
      <c r="Z206" s="34">
        <v>1.0089999999999999</v>
      </c>
      <c r="AA206" s="34">
        <v>0.11</v>
      </c>
      <c r="AB206" s="34">
        <v>1.9594654709999999</v>
      </c>
      <c r="AC206" s="34">
        <v>9.7430000000000003</v>
      </c>
      <c r="AD206" s="34">
        <v>7.8701524809999999</v>
      </c>
      <c r="AE206" s="34">
        <v>15.4772</v>
      </c>
    </row>
    <row r="207" spans="1:31" x14ac:dyDescent="0.3">
      <c r="A207" s="3" t="s">
        <v>240</v>
      </c>
      <c r="B207" s="27">
        <v>518048</v>
      </c>
      <c r="C207" s="29">
        <v>37840001</v>
      </c>
      <c r="D207" s="29">
        <v>15100</v>
      </c>
      <c r="E207" s="30">
        <v>226093.9</v>
      </c>
      <c r="F207" s="30">
        <v>323856.59999999998</v>
      </c>
      <c r="G207" s="30">
        <v>5.9</v>
      </c>
      <c r="H207" s="30">
        <v>5.9</v>
      </c>
      <c r="I207" s="33">
        <v>4.5</v>
      </c>
      <c r="J207" s="33">
        <v>76.456999999999994</v>
      </c>
      <c r="K207" s="33">
        <v>1.33</v>
      </c>
      <c r="L207" s="29">
        <v>901790</v>
      </c>
      <c r="M207" s="32">
        <v>28.5</v>
      </c>
      <c r="N207" s="32">
        <v>123.4</v>
      </c>
      <c r="O207" s="32">
        <v>13770</v>
      </c>
      <c r="P207" s="34">
        <v>313451.09999999998</v>
      </c>
      <c r="Q207" s="34">
        <v>332569</v>
      </c>
      <c r="R207" s="34">
        <v>18893812</v>
      </c>
      <c r="S207" s="34">
        <v>13</v>
      </c>
      <c r="T207" s="34">
        <v>57.9</v>
      </c>
      <c r="U207" s="34">
        <v>29.1</v>
      </c>
      <c r="V207" s="34">
        <v>0.876</v>
      </c>
      <c r="W207" s="34">
        <v>15.93451977</v>
      </c>
      <c r="X207" s="34">
        <v>13.164750099999999</v>
      </c>
      <c r="Y207" s="34">
        <v>33263.711920000002</v>
      </c>
      <c r="Z207" s="34">
        <v>1.0089999999999999</v>
      </c>
      <c r="AA207" s="34">
        <v>0.109</v>
      </c>
      <c r="AB207" s="34">
        <v>1.9594654709999999</v>
      </c>
      <c r="AC207" s="34">
        <v>9.6530000000000005</v>
      </c>
      <c r="AD207" s="34">
        <v>8.6425699090000005</v>
      </c>
      <c r="AE207" s="34">
        <v>16.8093</v>
      </c>
    </row>
    <row r="208" spans="1:31" x14ac:dyDescent="0.3">
      <c r="A208" s="3" t="s">
        <v>179</v>
      </c>
      <c r="B208" s="27">
        <v>40338</v>
      </c>
      <c r="C208" s="29">
        <v>2794184</v>
      </c>
      <c r="D208" s="29">
        <v>17520</v>
      </c>
      <c r="E208" s="30">
        <v>22644.6</v>
      </c>
      <c r="F208" s="30">
        <v>29381.4</v>
      </c>
      <c r="G208" s="30">
        <v>6.7</v>
      </c>
      <c r="H208" s="30">
        <v>4</v>
      </c>
      <c r="I208" s="33">
        <v>4.4000000000000004</v>
      </c>
      <c r="J208" s="33">
        <v>76.212000000000003</v>
      </c>
      <c r="K208" s="33">
        <v>1.61</v>
      </c>
      <c r="L208" s="29">
        <v>138171</v>
      </c>
      <c r="M208" s="32">
        <v>30.4</v>
      </c>
      <c r="N208" s="32">
        <v>44.6</v>
      </c>
      <c r="O208" s="32">
        <v>14060</v>
      </c>
      <c r="P208" s="34">
        <v>35217.4</v>
      </c>
      <c r="Q208" s="34">
        <v>37818.1</v>
      </c>
      <c r="R208" s="34">
        <v>6504685</v>
      </c>
      <c r="S208" s="34">
        <v>11.1</v>
      </c>
      <c r="T208" s="34">
        <v>51</v>
      </c>
      <c r="U208" s="34">
        <v>37.9</v>
      </c>
      <c r="V208" s="34">
        <v>0.88600000000000001</v>
      </c>
      <c r="W208" s="34">
        <v>16.48349953</v>
      </c>
      <c r="X208" s="34">
        <v>13.394863450000001</v>
      </c>
      <c r="Y208" s="34">
        <v>35897.098480000001</v>
      </c>
      <c r="Z208" s="34">
        <v>1.016</v>
      </c>
      <c r="AA208" s="34">
        <v>0.122</v>
      </c>
      <c r="AB208" s="34">
        <v>7.3574504239999996</v>
      </c>
      <c r="AC208" s="34">
        <v>10.587999999999999</v>
      </c>
      <c r="AD208" s="34">
        <v>4.8007727400000002</v>
      </c>
      <c r="AE208" s="34">
        <v>22.127400000000002</v>
      </c>
    </row>
    <row r="209" spans="1:31" x14ac:dyDescent="0.3">
      <c r="A209" s="3" t="s">
        <v>150</v>
      </c>
      <c r="B209" s="27">
        <v>46388</v>
      </c>
      <c r="C209" s="29">
        <v>2808901</v>
      </c>
      <c r="D209" s="29">
        <v>16250</v>
      </c>
      <c r="E209" s="30">
        <v>20384.099999999999</v>
      </c>
      <c r="F209" s="30">
        <v>27971.8</v>
      </c>
      <c r="G209" s="30">
        <v>6.2</v>
      </c>
      <c r="H209" s="30">
        <v>4.5999999999999996</v>
      </c>
      <c r="I209" s="33">
        <v>4.4000000000000004</v>
      </c>
      <c r="J209" s="33">
        <v>75.677000000000007</v>
      </c>
      <c r="K209" s="33">
        <v>1.63</v>
      </c>
      <c r="L209" s="29">
        <v>130975</v>
      </c>
      <c r="M209" s="32">
        <v>30.1</v>
      </c>
      <c r="N209" s="32">
        <v>44.7</v>
      </c>
      <c r="O209" s="32">
        <v>13400</v>
      </c>
      <c r="P209" s="34">
        <v>33403.300000000003</v>
      </c>
      <c r="Q209" s="34">
        <v>34229.9</v>
      </c>
      <c r="R209" s="34">
        <v>6254178</v>
      </c>
      <c r="S209" s="34">
        <v>11.7</v>
      </c>
      <c r="T209" s="34">
        <v>52.3</v>
      </c>
      <c r="U209" s="34">
        <v>36.1</v>
      </c>
      <c r="V209" s="34">
        <v>0.88200000000000001</v>
      </c>
      <c r="W209" s="34">
        <v>16.776660920000001</v>
      </c>
      <c r="X209" s="34">
        <v>13.29162661</v>
      </c>
      <c r="Y209" s="34">
        <v>34362.000099999997</v>
      </c>
      <c r="Z209" s="34">
        <v>1.018</v>
      </c>
      <c r="AA209" s="34">
        <v>0.128</v>
      </c>
      <c r="AB209" s="34">
        <v>7.8459499570000002</v>
      </c>
      <c r="AC209" s="34">
        <v>11.603</v>
      </c>
      <c r="AD209" s="34">
        <v>4.6711064320000002</v>
      </c>
      <c r="AE209" s="34">
        <v>23.2942</v>
      </c>
    </row>
    <row r="210" spans="1:31" x14ac:dyDescent="0.3">
      <c r="A210" s="3" t="s">
        <v>24</v>
      </c>
      <c r="B210" s="27">
        <v>21033</v>
      </c>
      <c r="C210" s="29">
        <v>1315819</v>
      </c>
      <c r="D210" s="29">
        <v>15240</v>
      </c>
      <c r="E210" s="30">
        <v>9168.9</v>
      </c>
      <c r="F210" s="30">
        <v>10150.200000000001</v>
      </c>
      <c r="G210" s="30">
        <v>5.9</v>
      </c>
      <c r="H210" s="30">
        <v>12</v>
      </c>
      <c r="I210" s="33">
        <v>4.7</v>
      </c>
      <c r="J210" s="33">
        <v>77.141000000000005</v>
      </c>
      <c r="K210" s="33">
        <v>1.54</v>
      </c>
      <c r="L210" s="29">
        <v>196558</v>
      </c>
      <c r="M210" s="32">
        <v>27.9</v>
      </c>
      <c r="N210" s="32">
        <v>30.3</v>
      </c>
      <c r="O210" s="32">
        <v>12960</v>
      </c>
      <c r="P210" s="34">
        <v>15713</v>
      </c>
      <c r="Q210" s="34">
        <v>16412.599999999999</v>
      </c>
      <c r="R210" s="34">
        <v>2019806</v>
      </c>
      <c r="S210" s="34">
        <v>17.7</v>
      </c>
      <c r="T210" s="34">
        <v>49.7</v>
      </c>
      <c r="U210" s="34">
        <v>32.6</v>
      </c>
      <c r="V210" s="34">
        <v>0.879</v>
      </c>
      <c r="W210" s="34">
        <v>16.26988983</v>
      </c>
      <c r="X210" s="34">
        <v>13.442950250000001</v>
      </c>
      <c r="Y210" s="34">
        <v>29634.542600000001</v>
      </c>
      <c r="Z210" s="34">
        <v>1.0189999999999999</v>
      </c>
      <c r="AA210" s="34">
        <v>0.156</v>
      </c>
      <c r="AB210" s="34">
        <v>6.5377852120000002</v>
      </c>
      <c r="AC210" s="34">
        <v>15.38</v>
      </c>
      <c r="AD210" s="34">
        <v>14.32326177</v>
      </c>
      <c r="AE210" s="34">
        <v>20.5747</v>
      </c>
    </row>
    <row r="211" spans="1:31" x14ac:dyDescent="0.3">
      <c r="A211" s="3" t="s">
        <v>198</v>
      </c>
      <c r="B211" s="27">
        <v>22608</v>
      </c>
      <c r="C211" s="29">
        <v>1328976</v>
      </c>
      <c r="D211" s="29">
        <v>20640</v>
      </c>
      <c r="E211" s="30">
        <v>13814.7</v>
      </c>
      <c r="F211" s="30">
        <v>13651.4</v>
      </c>
      <c r="G211" s="30">
        <v>4.4000000000000004</v>
      </c>
      <c r="H211" s="30">
        <v>8.5</v>
      </c>
      <c r="I211" s="33">
        <v>4.5999999999999996</v>
      </c>
      <c r="J211" s="33">
        <v>78.343000000000004</v>
      </c>
      <c r="K211" s="33">
        <v>1.58</v>
      </c>
      <c r="L211" s="29">
        <v>198306</v>
      </c>
      <c r="M211" s="32">
        <v>31.6</v>
      </c>
      <c r="N211" s="32">
        <v>30.5</v>
      </c>
      <c r="O211" s="32">
        <v>15260</v>
      </c>
      <c r="P211" s="34">
        <v>19136.400000000001</v>
      </c>
      <c r="Q211" s="34">
        <v>18984.599999999999</v>
      </c>
      <c r="R211" s="34">
        <v>857837</v>
      </c>
      <c r="S211" s="34">
        <v>16.8</v>
      </c>
      <c r="T211" s="34">
        <v>48.1</v>
      </c>
      <c r="U211" s="34">
        <v>35.200000000000003</v>
      </c>
      <c r="V211" s="34">
        <v>0.89100000000000001</v>
      </c>
      <c r="W211" s="34">
        <v>15.775099750000001</v>
      </c>
      <c r="X211" s="34">
        <v>13.548430440000001</v>
      </c>
      <c r="Y211" s="34">
        <v>35481.215550000001</v>
      </c>
      <c r="Z211" s="34">
        <v>1.0189999999999999</v>
      </c>
      <c r="AA211" s="34">
        <v>9.5000000000000001E-2</v>
      </c>
      <c r="AB211" s="34">
        <v>5.1796421710000002</v>
      </c>
      <c r="AC211" s="34">
        <v>8.8290000000000006</v>
      </c>
      <c r="AD211" s="34">
        <v>6.949446536</v>
      </c>
      <c r="AE211" s="34">
        <v>25.808399999999999</v>
      </c>
    </row>
    <row r="212" spans="1:31" x14ac:dyDescent="0.3">
      <c r="A212" s="3" t="s">
        <v>82</v>
      </c>
      <c r="B212" s="27">
        <v>25618</v>
      </c>
      <c r="C212" s="29">
        <v>1315944</v>
      </c>
      <c r="D212" s="29">
        <v>16530</v>
      </c>
      <c r="E212" s="30">
        <v>10379.700000000001</v>
      </c>
      <c r="F212" s="30">
        <v>11192.7</v>
      </c>
      <c r="G212" s="30">
        <v>5.4</v>
      </c>
      <c r="H212" s="30">
        <v>11.4</v>
      </c>
      <c r="I212" s="33">
        <v>4.8</v>
      </c>
      <c r="J212" s="33">
        <v>77.819999999999993</v>
      </c>
      <c r="K212" s="33">
        <v>1.6</v>
      </c>
      <c r="L212" s="29">
        <v>193813</v>
      </c>
      <c r="M212" s="32">
        <v>29.3</v>
      </c>
      <c r="N212" s="32">
        <v>30.3</v>
      </c>
      <c r="O212" s="32">
        <v>13620</v>
      </c>
      <c r="P212" s="34">
        <v>15963.2</v>
      </c>
      <c r="Q212" s="34">
        <v>16747.5</v>
      </c>
      <c r="R212" s="34">
        <v>2214989</v>
      </c>
      <c r="S212" s="34">
        <v>17.3</v>
      </c>
      <c r="T212" s="34">
        <v>49.7</v>
      </c>
      <c r="U212" s="34">
        <v>33.1</v>
      </c>
      <c r="V212" s="34">
        <v>0.88400000000000001</v>
      </c>
      <c r="W212" s="34">
        <v>15.952919959999999</v>
      </c>
      <c r="X212" s="34">
        <v>13.51035023</v>
      </c>
      <c r="Y212" s="34">
        <v>31297.029719999999</v>
      </c>
      <c r="Z212" s="34">
        <v>1.02</v>
      </c>
      <c r="AA212" s="34">
        <v>0.12</v>
      </c>
      <c r="AB212" s="34">
        <v>5.8103324360000004</v>
      </c>
      <c r="AC212" s="34">
        <v>10.898999999999999</v>
      </c>
      <c r="AD212" s="34">
        <v>13.29041299</v>
      </c>
      <c r="AE212" s="34">
        <v>23.759799999999998</v>
      </c>
    </row>
    <row r="213" spans="1:31" x14ac:dyDescent="0.3">
      <c r="A213" s="3" t="s">
        <v>207</v>
      </c>
      <c r="B213" s="27">
        <v>14366</v>
      </c>
      <c r="C213" s="29">
        <v>1907675</v>
      </c>
      <c r="D213" s="29">
        <v>15840</v>
      </c>
      <c r="E213" s="30">
        <v>15050.9</v>
      </c>
      <c r="F213" s="30">
        <v>17167.400000000001</v>
      </c>
      <c r="G213" s="30">
        <v>7.3</v>
      </c>
      <c r="H213" s="30">
        <v>7.2</v>
      </c>
      <c r="I213" s="33">
        <v>5.6</v>
      </c>
      <c r="J213" s="33">
        <v>75.453000000000003</v>
      </c>
      <c r="K213" s="33">
        <v>1.55</v>
      </c>
      <c r="L213" s="29">
        <v>236953</v>
      </c>
      <c r="M213" s="32">
        <v>32.299999999999997</v>
      </c>
      <c r="N213" s="32">
        <v>30.2</v>
      </c>
      <c r="O213" s="32">
        <v>11940</v>
      </c>
      <c r="P213" s="34">
        <v>17898.900000000001</v>
      </c>
      <c r="Q213" s="34">
        <v>18291.900000000001</v>
      </c>
      <c r="R213" s="34">
        <v>1995133</v>
      </c>
      <c r="S213" s="34">
        <v>14.6</v>
      </c>
      <c r="T213" s="34">
        <v>52.2</v>
      </c>
      <c r="U213" s="34">
        <v>33.200000000000003</v>
      </c>
      <c r="V213" s="34">
        <v>0.873</v>
      </c>
      <c r="W213" s="34">
        <v>16.49007988</v>
      </c>
      <c r="X213" s="34">
        <v>13.33330305</v>
      </c>
      <c r="Y213" s="34">
        <v>30562.462800000001</v>
      </c>
      <c r="Z213" s="34">
        <v>1.02</v>
      </c>
      <c r="AA213" s="34">
        <v>0.14599999999999999</v>
      </c>
      <c r="AB213" s="34">
        <v>18.321622659999999</v>
      </c>
      <c r="AC213" s="34">
        <v>11.199</v>
      </c>
      <c r="AD213" s="34">
        <v>3.6898830399999998</v>
      </c>
      <c r="AE213" s="34">
        <v>21.848700000000001</v>
      </c>
    </row>
    <row r="214" spans="1:31" x14ac:dyDescent="0.3">
      <c r="A214" s="3" t="s">
        <v>34</v>
      </c>
      <c r="B214" s="27">
        <v>17071</v>
      </c>
      <c r="C214" s="29">
        <v>2943472</v>
      </c>
      <c r="D214" s="29">
        <v>12480</v>
      </c>
      <c r="E214" s="30">
        <v>14608.2</v>
      </c>
      <c r="F214" s="30">
        <v>22660.1</v>
      </c>
      <c r="G214" s="30">
        <v>9.1</v>
      </c>
      <c r="H214" s="30">
        <v>5.9</v>
      </c>
      <c r="I214" s="33">
        <v>7.6</v>
      </c>
      <c r="J214" s="33">
        <v>74.843000000000004</v>
      </c>
      <c r="K214" s="33">
        <v>1.63</v>
      </c>
      <c r="L214" s="29">
        <v>137417</v>
      </c>
      <c r="M214" s="32">
        <v>27.5</v>
      </c>
      <c r="N214" s="32">
        <v>46.8</v>
      </c>
      <c r="O214" s="32">
        <v>11290</v>
      </c>
      <c r="P214" s="34">
        <v>25772</v>
      </c>
      <c r="Q214" s="34">
        <v>26437.5</v>
      </c>
      <c r="R214" s="34">
        <v>3798110</v>
      </c>
      <c r="S214" s="34">
        <v>14.2</v>
      </c>
      <c r="T214" s="34">
        <v>54.3</v>
      </c>
      <c r="U214" s="34">
        <v>31.4</v>
      </c>
      <c r="V214" s="34">
        <v>0.86399999999999999</v>
      </c>
      <c r="W214" s="34">
        <v>16.699899670000001</v>
      </c>
      <c r="X214" s="34">
        <v>12.8023901</v>
      </c>
      <c r="Y214" s="34">
        <v>29521.77378</v>
      </c>
      <c r="Z214" s="34">
        <v>1.0209999999999999</v>
      </c>
      <c r="AA214" s="34">
        <v>0.13500000000000001</v>
      </c>
      <c r="AB214" s="34">
        <v>8.7046361500000007</v>
      </c>
      <c r="AC214" s="34">
        <v>14.045</v>
      </c>
      <c r="AD214" s="34">
        <v>4.2922248190000003</v>
      </c>
      <c r="AE214" s="34">
        <v>16.758600000000001</v>
      </c>
    </row>
    <row r="215" spans="1:31" x14ac:dyDescent="0.3">
      <c r="A215" s="3" t="s">
        <v>121</v>
      </c>
      <c r="B215" s="27">
        <v>32382</v>
      </c>
      <c r="C215" s="29">
        <v>2847904</v>
      </c>
      <c r="D215" s="29">
        <v>14950</v>
      </c>
      <c r="E215" s="30">
        <v>18561.7</v>
      </c>
      <c r="F215" s="30">
        <v>26297.200000000001</v>
      </c>
      <c r="G215" s="30">
        <v>6.8</v>
      </c>
      <c r="H215" s="30">
        <v>5.4</v>
      </c>
      <c r="I215" s="33">
        <v>7.5</v>
      </c>
      <c r="J215" s="33">
        <v>75.44</v>
      </c>
      <c r="K215" s="33">
        <v>1.63</v>
      </c>
      <c r="L215" s="29">
        <v>127351</v>
      </c>
      <c r="M215" s="32">
        <v>29.3</v>
      </c>
      <c r="N215" s="32">
        <v>45.2</v>
      </c>
      <c r="O215" s="32">
        <v>12760</v>
      </c>
      <c r="P215" s="34">
        <v>30133.8</v>
      </c>
      <c r="Q215" s="34">
        <v>31113.3</v>
      </c>
      <c r="R215" s="34">
        <v>5246101</v>
      </c>
      <c r="S215" s="34">
        <v>12</v>
      </c>
      <c r="T215" s="34">
        <v>53.2</v>
      </c>
      <c r="U215" s="34">
        <v>34.799999999999997</v>
      </c>
      <c r="V215" s="34">
        <v>0.878</v>
      </c>
      <c r="W215" s="34">
        <v>16.85014915</v>
      </c>
      <c r="X215" s="34">
        <v>13.18838978</v>
      </c>
      <c r="Y215" s="34">
        <v>32541.16488</v>
      </c>
      <c r="Z215" s="34">
        <v>1.0209999999999999</v>
      </c>
      <c r="AA215" s="34">
        <v>0.13300000000000001</v>
      </c>
      <c r="AB215" s="34">
        <v>8.0349572259999995</v>
      </c>
      <c r="AC215" s="34">
        <v>12.459</v>
      </c>
      <c r="AD215" s="34">
        <v>4.5744288940000004</v>
      </c>
      <c r="AE215" s="34">
        <v>19.808399999999999</v>
      </c>
    </row>
    <row r="216" spans="1:31" x14ac:dyDescent="0.3">
      <c r="A216" s="3" t="s">
        <v>178</v>
      </c>
      <c r="B216" s="27">
        <v>13516</v>
      </c>
      <c r="C216" s="29">
        <v>1919968</v>
      </c>
      <c r="D216" s="29">
        <v>15980</v>
      </c>
      <c r="E216" s="30">
        <v>14970.8</v>
      </c>
      <c r="F216" s="30">
        <v>17952.5</v>
      </c>
      <c r="G216" s="30">
        <v>6.9</v>
      </c>
      <c r="H216" s="30">
        <v>8.6999999999999993</v>
      </c>
      <c r="I216" s="33">
        <v>4.4000000000000004</v>
      </c>
      <c r="J216" s="33">
        <v>75.534000000000006</v>
      </c>
      <c r="K216" s="33">
        <v>1.61</v>
      </c>
      <c r="L216" s="29">
        <v>241754</v>
      </c>
      <c r="M216" s="32">
        <v>31.7</v>
      </c>
      <c r="N216" s="32">
        <v>30.2</v>
      </c>
      <c r="O216" s="32">
        <v>12300</v>
      </c>
      <c r="P216" s="34">
        <v>18564.5</v>
      </c>
      <c r="Q216" s="34">
        <v>18350.2</v>
      </c>
      <c r="R216" s="34">
        <v>7785726</v>
      </c>
      <c r="S216" s="34">
        <v>14.9</v>
      </c>
      <c r="T216" s="34">
        <v>53.8</v>
      </c>
      <c r="U216" s="34">
        <v>31.4</v>
      </c>
      <c r="V216" s="34">
        <v>0.873</v>
      </c>
      <c r="W216" s="34">
        <v>16.541719440000001</v>
      </c>
      <c r="X216" s="34">
        <v>13.252719880000001</v>
      </c>
      <c r="Y216" s="34">
        <v>30569.80631</v>
      </c>
      <c r="Z216" s="34">
        <v>1.0209999999999999</v>
      </c>
      <c r="AA216" s="34">
        <v>0.16600000000000001</v>
      </c>
      <c r="AB216" s="34">
        <v>21.809570489999999</v>
      </c>
      <c r="AC216" s="34">
        <v>12.363</v>
      </c>
      <c r="AD216" s="34">
        <v>3.9918499600000001</v>
      </c>
      <c r="AE216" s="34">
        <v>19.7469</v>
      </c>
    </row>
    <row r="217" spans="1:31" x14ac:dyDescent="0.3">
      <c r="A217" s="3" t="s">
        <v>53</v>
      </c>
      <c r="B217" s="27">
        <v>22997</v>
      </c>
      <c r="C217" s="29">
        <v>1314870</v>
      </c>
      <c r="D217" s="29">
        <v>15710</v>
      </c>
      <c r="E217" s="30">
        <v>9761.1</v>
      </c>
      <c r="F217" s="30">
        <v>10603.5</v>
      </c>
      <c r="G217" s="30">
        <v>5.0999999999999996</v>
      </c>
      <c r="H217" s="30">
        <v>13.7</v>
      </c>
      <c r="I217" s="33">
        <v>5.2</v>
      </c>
      <c r="J217" s="33">
        <v>77.656000000000006</v>
      </c>
      <c r="K217" s="33">
        <v>1.58</v>
      </c>
      <c r="L217" s="29">
        <v>194664</v>
      </c>
      <c r="M217" s="32">
        <v>28.7</v>
      </c>
      <c r="N217" s="32">
        <v>30.3</v>
      </c>
      <c r="O217" s="32">
        <v>13230</v>
      </c>
      <c r="P217" s="34">
        <v>15164.4</v>
      </c>
      <c r="Q217" s="34">
        <v>15976</v>
      </c>
      <c r="R217" s="34">
        <v>2160978</v>
      </c>
      <c r="S217" s="34">
        <v>18.3</v>
      </c>
      <c r="T217" s="34">
        <v>49.8</v>
      </c>
      <c r="U217" s="34">
        <v>32</v>
      </c>
      <c r="V217" s="34">
        <v>0.88300000000000001</v>
      </c>
      <c r="W217" s="34">
        <v>16.121059420000002</v>
      </c>
      <c r="X217" s="34">
        <v>13.488610270000001</v>
      </c>
      <c r="Y217" s="34">
        <v>30363.495989999999</v>
      </c>
      <c r="Z217" s="34">
        <v>1.022</v>
      </c>
      <c r="AA217" s="34">
        <v>0.13</v>
      </c>
      <c r="AB217" s="34">
        <v>6.1233564349999998</v>
      </c>
      <c r="AC217" s="34">
        <v>12.848000000000001</v>
      </c>
      <c r="AD217" s="34">
        <v>12.03659966</v>
      </c>
      <c r="AE217" s="34">
        <v>22.2805</v>
      </c>
    </row>
    <row r="218" spans="1:31" x14ac:dyDescent="0.3">
      <c r="A218" s="3" t="s">
        <v>111</v>
      </c>
      <c r="B218" s="27">
        <v>26297</v>
      </c>
      <c r="C218" s="29">
        <v>1315635</v>
      </c>
      <c r="D218" s="29">
        <v>18120</v>
      </c>
      <c r="E218" s="30">
        <v>11317.7</v>
      </c>
      <c r="F218" s="30">
        <v>11970.1</v>
      </c>
      <c r="G218" s="30">
        <v>3.6</v>
      </c>
      <c r="H218" s="30">
        <v>11.8</v>
      </c>
      <c r="I218" s="33">
        <v>4.9000000000000004</v>
      </c>
      <c r="J218" s="33">
        <v>77.975999999999999</v>
      </c>
      <c r="K218" s="33">
        <v>1.59</v>
      </c>
      <c r="L218" s="29">
        <v>192535</v>
      </c>
      <c r="M218" s="32">
        <v>30</v>
      </c>
      <c r="N218" s="32">
        <v>30.3</v>
      </c>
      <c r="O218" s="32">
        <v>14410</v>
      </c>
      <c r="P218" s="34">
        <v>17101.5</v>
      </c>
      <c r="Q218" s="34">
        <v>18068.2</v>
      </c>
      <c r="R218" s="34">
        <v>2635145</v>
      </c>
      <c r="S218" s="34">
        <v>17.7</v>
      </c>
      <c r="T218" s="34">
        <v>48.7</v>
      </c>
      <c r="U218" s="34">
        <v>33.6</v>
      </c>
      <c r="V218" s="34">
        <v>0.88600000000000001</v>
      </c>
      <c r="W218" s="34">
        <v>15.813960079999999</v>
      </c>
      <c r="X218" s="34">
        <v>13.555479999999999</v>
      </c>
      <c r="Y218" s="34">
        <v>32990.0452</v>
      </c>
      <c r="Z218" s="34">
        <v>1.0229999999999999</v>
      </c>
      <c r="AA218" s="34">
        <v>0.106</v>
      </c>
      <c r="AB218" s="34">
        <v>5.6052070860000001</v>
      </c>
      <c r="AC218" s="34">
        <v>9.8130000000000006</v>
      </c>
      <c r="AD218" s="34">
        <v>14.22216555</v>
      </c>
      <c r="AE218" s="34">
        <v>25.5871</v>
      </c>
    </row>
    <row r="219" spans="1:31" x14ac:dyDescent="0.3">
      <c r="A219" s="3" t="s">
        <v>169</v>
      </c>
      <c r="B219" s="27">
        <v>19278</v>
      </c>
      <c r="C219" s="29">
        <v>1324820</v>
      </c>
      <c r="D219" s="29">
        <v>21100</v>
      </c>
      <c r="E219" s="30">
        <v>13583.3</v>
      </c>
      <c r="F219" s="30">
        <v>13963.9</v>
      </c>
      <c r="G219" s="30">
        <v>3.9</v>
      </c>
      <c r="H219" s="30">
        <v>11.2</v>
      </c>
      <c r="I219" s="33">
        <v>4.4000000000000004</v>
      </c>
      <c r="J219" s="33">
        <v>78.668999999999997</v>
      </c>
      <c r="K219" s="33">
        <v>1.66</v>
      </c>
      <c r="L219" s="29">
        <v>197896</v>
      </c>
      <c r="M219" s="32">
        <v>31</v>
      </c>
      <c r="N219" s="32">
        <v>30.5</v>
      </c>
      <c r="O219" s="32">
        <v>15450</v>
      </c>
      <c r="P219" s="34">
        <v>19369</v>
      </c>
      <c r="Q219" s="34">
        <v>20504.7</v>
      </c>
      <c r="R219" s="34">
        <v>3258003</v>
      </c>
      <c r="S219" s="34">
        <v>17.100000000000001</v>
      </c>
      <c r="T219" s="34">
        <v>48.2</v>
      </c>
      <c r="U219" s="34">
        <v>34.700000000000003</v>
      </c>
      <c r="V219" s="34">
        <v>0.89300000000000002</v>
      </c>
      <c r="W219" s="34">
        <v>15.740289690000001</v>
      </c>
      <c r="X219" s="34">
        <v>13.602370260000001</v>
      </c>
      <c r="Y219" s="34">
        <v>35472.289340000003</v>
      </c>
      <c r="Z219" s="34">
        <v>1.0229999999999999</v>
      </c>
      <c r="AA219" s="34">
        <v>9.1999999999999998E-2</v>
      </c>
      <c r="AB219" s="34">
        <v>5.0654531120000001</v>
      </c>
      <c r="AC219" s="34">
        <v>8.6869999999999994</v>
      </c>
      <c r="AD219" s="34">
        <v>9.2868408539999994</v>
      </c>
      <c r="AE219" s="34">
        <v>21.841000000000001</v>
      </c>
    </row>
    <row r="220" spans="1:31" x14ac:dyDescent="0.3">
      <c r="A220" s="3" t="s">
        <v>235</v>
      </c>
      <c r="B220" s="27">
        <v>21066</v>
      </c>
      <c r="C220" s="29">
        <v>1893223</v>
      </c>
      <c r="D220" s="29">
        <v>17710</v>
      </c>
      <c r="E220" s="30">
        <v>15890.8</v>
      </c>
      <c r="F220" s="30">
        <v>19043.7</v>
      </c>
      <c r="G220" s="30">
        <v>7.8</v>
      </c>
      <c r="H220" s="30">
        <v>7.3</v>
      </c>
      <c r="I220" s="33">
        <v>6</v>
      </c>
      <c r="J220" s="33">
        <v>73.578999999999994</v>
      </c>
      <c r="K220" s="33">
        <v>1.57</v>
      </c>
      <c r="L220" s="29">
        <v>230095</v>
      </c>
      <c r="M220" s="32">
        <v>32.9</v>
      </c>
      <c r="N220" s="32">
        <v>30</v>
      </c>
      <c r="O220" s="32">
        <v>12870</v>
      </c>
      <c r="P220" s="34">
        <v>22591.5</v>
      </c>
      <c r="Q220" s="34">
        <v>21540.5</v>
      </c>
      <c r="R220" s="34">
        <v>2336134</v>
      </c>
      <c r="S220" s="34">
        <v>14.2</v>
      </c>
      <c r="T220" s="34">
        <v>51.6</v>
      </c>
      <c r="U220" s="34">
        <v>34.200000000000003</v>
      </c>
      <c r="V220" s="34">
        <v>0.86499999999999999</v>
      </c>
      <c r="W220" s="34">
        <v>16.55606079</v>
      </c>
      <c r="X220" s="34">
        <v>13.33330305</v>
      </c>
      <c r="Y220" s="34">
        <v>31442.7003</v>
      </c>
      <c r="Z220" s="34">
        <v>1.0229999999999999</v>
      </c>
      <c r="AA220" s="34">
        <v>0.14899999999999999</v>
      </c>
      <c r="AB220" s="34">
        <v>18.321622659999999</v>
      </c>
      <c r="AC220" s="34">
        <v>11.215999999999999</v>
      </c>
      <c r="AD220" s="34">
        <v>3.8638276249999999</v>
      </c>
      <c r="AE220" s="34">
        <v>23.4605</v>
      </c>
    </row>
    <row r="221" spans="1:31" x14ac:dyDescent="0.3">
      <c r="A221" s="3" t="s">
        <v>140</v>
      </c>
      <c r="B221" s="27">
        <v>27585</v>
      </c>
      <c r="C221" s="29">
        <v>1319133</v>
      </c>
      <c r="D221" s="29">
        <v>19660</v>
      </c>
      <c r="E221" s="30">
        <v>12464.5</v>
      </c>
      <c r="F221" s="30">
        <v>12995.7</v>
      </c>
      <c r="G221" s="30">
        <v>5.0999999999999996</v>
      </c>
      <c r="H221" s="30">
        <v>12</v>
      </c>
      <c r="I221" s="33">
        <v>4.4000000000000004</v>
      </c>
      <c r="J221" s="33">
        <v>78.138999999999996</v>
      </c>
      <c r="K221" s="33">
        <v>1.67</v>
      </c>
      <c r="L221" s="29">
        <v>196207</v>
      </c>
      <c r="M221" s="32">
        <v>30.6</v>
      </c>
      <c r="N221" s="32">
        <v>30.4</v>
      </c>
      <c r="O221" s="32">
        <v>14920</v>
      </c>
      <c r="P221" s="34">
        <v>18566.5</v>
      </c>
      <c r="Q221" s="34">
        <v>19273.8</v>
      </c>
      <c r="R221" s="34">
        <v>2995528</v>
      </c>
      <c r="S221" s="34">
        <v>17.899999999999999</v>
      </c>
      <c r="T221" s="34">
        <v>48</v>
      </c>
      <c r="U221" s="34">
        <v>34.1</v>
      </c>
      <c r="V221" s="34">
        <v>0.89</v>
      </c>
      <c r="W221" s="34">
        <v>15.75247955</v>
      </c>
      <c r="X221" s="34">
        <v>13.656310080000001</v>
      </c>
      <c r="Y221" s="34">
        <v>34233.031560000003</v>
      </c>
      <c r="Z221" s="34">
        <v>1.024</v>
      </c>
      <c r="AA221" s="34">
        <v>0.10299999999999999</v>
      </c>
      <c r="AB221" s="34">
        <v>5.3684942629999997</v>
      </c>
      <c r="AC221" s="34">
        <v>9.4039999999999999</v>
      </c>
      <c r="AD221" s="34">
        <v>13.527078660000001</v>
      </c>
      <c r="AE221" s="34">
        <v>24.326599999999999</v>
      </c>
    </row>
    <row r="222" spans="1:31" x14ac:dyDescent="0.3">
      <c r="A222" s="3" t="s">
        <v>208</v>
      </c>
      <c r="B222" s="27">
        <v>31454</v>
      </c>
      <c r="C222" s="29">
        <v>2794090</v>
      </c>
      <c r="D222" s="29">
        <v>17840</v>
      </c>
      <c r="E222" s="30">
        <v>23825.7</v>
      </c>
      <c r="F222" s="30">
        <v>28742.7</v>
      </c>
      <c r="G222" s="30">
        <v>6.3</v>
      </c>
      <c r="H222" s="30">
        <v>5.6</v>
      </c>
      <c r="I222" s="33">
        <v>5.5</v>
      </c>
      <c r="J222" s="33">
        <v>75.067999999999998</v>
      </c>
      <c r="K222" s="33">
        <v>1.48</v>
      </c>
      <c r="L222" s="29">
        <v>152578</v>
      </c>
      <c r="M222" s="32">
        <v>30.6</v>
      </c>
      <c r="N222" s="32">
        <v>44.6</v>
      </c>
      <c r="O222" s="32">
        <v>14060</v>
      </c>
      <c r="P222" s="34">
        <v>31826.3</v>
      </c>
      <c r="Q222" s="34">
        <v>36456.300000000003</v>
      </c>
      <c r="R222" s="34">
        <v>1804500</v>
      </c>
      <c r="S222" s="34">
        <v>10.8</v>
      </c>
      <c r="T222" s="34">
        <v>50.5</v>
      </c>
      <c r="U222" s="34">
        <v>38.700000000000003</v>
      </c>
      <c r="V222" s="34">
        <v>0.88</v>
      </c>
      <c r="W222" s="34">
        <v>16.371620180000001</v>
      </c>
      <c r="X222" s="34">
        <v>13.498100279999999</v>
      </c>
      <c r="Y222" s="34">
        <v>36103.010040000001</v>
      </c>
      <c r="Z222" s="34">
        <v>1.024</v>
      </c>
      <c r="AA222" s="34">
        <v>0.107</v>
      </c>
      <c r="AB222" s="34">
        <v>8.6604844609999994</v>
      </c>
      <c r="AC222" s="34">
        <v>10.368</v>
      </c>
      <c r="AD222" s="34">
        <v>4.8005029309999996</v>
      </c>
      <c r="AE222" s="34">
        <v>24.236899999999999</v>
      </c>
    </row>
    <row r="223" spans="1:31" x14ac:dyDescent="0.3">
      <c r="A223" s="3" t="s">
        <v>226</v>
      </c>
      <c r="B223" s="27">
        <v>26763</v>
      </c>
      <c r="C223" s="29">
        <v>1330068</v>
      </c>
      <c r="D223" s="29">
        <v>23430</v>
      </c>
      <c r="E223" s="30">
        <v>15064.4</v>
      </c>
      <c r="F223" s="30">
        <v>15523.4</v>
      </c>
      <c r="G223" s="30">
        <v>4.0999999999999996</v>
      </c>
      <c r="H223" s="30">
        <v>9.8000000000000007</v>
      </c>
      <c r="I223" s="33">
        <v>4.8</v>
      </c>
      <c r="J223" s="33">
        <v>77.144000000000005</v>
      </c>
      <c r="K223" s="33">
        <v>1.61</v>
      </c>
      <c r="L223" s="29">
        <v>198243</v>
      </c>
      <c r="M223" s="32">
        <v>32.200000000000003</v>
      </c>
      <c r="N223" s="32">
        <v>30.6</v>
      </c>
      <c r="O223" s="32">
        <v>16350</v>
      </c>
      <c r="P223" s="34">
        <v>25331.7</v>
      </c>
      <c r="Q223" s="34">
        <v>25019</v>
      </c>
      <c r="R223" s="34">
        <v>1292941</v>
      </c>
      <c r="S223" s="34">
        <v>16.7</v>
      </c>
      <c r="T223" s="34">
        <v>47.3</v>
      </c>
      <c r="U223" s="34">
        <v>36</v>
      </c>
      <c r="V223" s="34">
        <v>0.89</v>
      </c>
      <c r="W223" s="34">
        <v>15.942979810000001</v>
      </c>
      <c r="X223" s="34">
        <v>13.548430440000001</v>
      </c>
      <c r="Y223" s="34">
        <v>38027.421260000003</v>
      </c>
      <c r="Z223" s="34">
        <v>1.0249999999999999</v>
      </c>
      <c r="AA223" s="34">
        <v>9.9000000000000005E-2</v>
      </c>
      <c r="AB223" s="34">
        <v>5.1796421710000002</v>
      </c>
      <c r="AC223" s="34">
        <v>8.7639999999999993</v>
      </c>
      <c r="AD223" s="34">
        <v>7.8421706609999999</v>
      </c>
      <c r="AE223" s="34">
        <v>26.950099999999999</v>
      </c>
    </row>
    <row r="224" spans="1:31" x14ac:dyDescent="0.3">
      <c r="A224" s="3" t="s">
        <v>33</v>
      </c>
      <c r="B224" s="27">
        <v>13766</v>
      </c>
      <c r="C224" s="29">
        <v>2001468</v>
      </c>
      <c r="D224" s="29">
        <v>11850</v>
      </c>
      <c r="E224" s="30">
        <v>10095.5</v>
      </c>
      <c r="F224" s="30">
        <v>14476.1</v>
      </c>
      <c r="G224" s="30">
        <v>10.6</v>
      </c>
      <c r="H224" s="30">
        <v>8.5</v>
      </c>
      <c r="I224" s="33">
        <v>6.3</v>
      </c>
      <c r="J224" s="33">
        <v>74.432000000000002</v>
      </c>
      <c r="K224" s="33">
        <v>1.65</v>
      </c>
      <c r="L224" s="29">
        <v>271126</v>
      </c>
      <c r="M224" s="32">
        <v>28.8</v>
      </c>
      <c r="N224" s="32">
        <v>32</v>
      </c>
      <c r="O224" s="32">
        <v>10270</v>
      </c>
      <c r="P224" s="34">
        <v>15149.9</v>
      </c>
      <c r="Q224" s="34">
        <v>14448.3</v>
      </c>
      <c r="R224" s="34">
        <v>4802282</v>
      </c>
      <c r="S224" s="34">
        <v>16.100000000000001</v>
      </c>
      <c r="T224" s="34">
        <v>57</v>
      </c>
      <c r="U224" s="34">
        <v>26.9</v>
      </c>
      <c r="V224" s="34">
        <v>0.85</v>
      </c>
      <c r="W224" s="34">
        <v>16.07192993</v>
      </c>
      <c r="X224" s="34">
        <v>12.857379910000001</v>
      </c>
      <c r="Y224" s="34">
        <v>25457.254570000001</v>
      </c>
      <c r="Z224" s="34">
        <v>1.026</v>
      </c>
      <c r="AA224" s="34">
        <v>0.22900000000000001</v>
      </c>
      <c r="AB224" s="34">
        <v>22.348396510000001</v>
      </c>
      <c r="AC224" s="34">
        <v>18.532</v>
      </c>
      <c r="AD224" s="34">
        <v>3.5669124270000001</v>
      </c>
      <c r="AE224" s="34">
        <v>18.529900000000001</v>
      </c>
    </row>
    <row r="225" spans="1:31" x14ac:dyDescent="0.3">
      <c r="A225" s="3" t="s">
        <v>92</v>
      </c>
      <c r="B225" s="27">
        <v>25836</v>
      </c>
      <c r="C225" s="29">
        <v>2888558</v>
      </c>
      <c r="D225" s="29">
        <v>13560</v>
      </c>
      <c r="E225" s="30">
        <v>17012.3</v>
      </c>
      <c r="F225" s="30">
        <v>24528.6</v>
      </c>
      <c r="G225" s="30">
        <v>6.6</v>
      </c>
      <c r="H225" s="30">
        <v>4.8</v>
      </c>
      <c r="I225" s="33">
        <v>7.4</v>
      </c>
      <c r="J225" s="33">
        <v>74.882000000000005</v>
      </c>
      <c r="K225" s="33">
        <v>1.69</v>
      </c>
      <c r="L225" s="29">
        <v>129706</v>
      </c>
      <c r="M225" s="32">
        <v>28.6</v>
      </c>
      <c r="N225" s="32">
        <v>45.8</v>
      </c>
      <c r="O225" s="32">
        <v>12070</v>
      </c>
      <c r="P225" s="34">
        <v>26004.3</v>
      </c>
      <c r="Q225" s="34">
        <v>26284.6</v>
      </c>
      <c r="R225" s="34">
        <v>4787561</v>
      </c>
      <c r="S225" s="34">
        <v>12.4</v>
      </c>
      <c r="T225" s="34">
        <v>53.5</v>
      </c>
      <c r="U225" s="34">
        <v>34.1</v>
      </c>
      <c r="V225" s="34">
        <v>0.87</v>
      </c>
      <c r="W225" s="34">
        <v>16.71729088</v>
      </c>
      <c r="X225" s="34">
        <v>13.10509968</v>
      </c>
      <c r="Y225" s="34">
        <v>30788.286520000001</v>
      </c>
      <c r="Z225" s="34">
        <v>1.026</v>
      </c>
      <c r="AA225" s="34">
        <v>0.13800000000000001</v>
      </c>
      <c r="AB225" s="34">
        <v>8.1415482570000002</v>
      </c>
      <c r="AC225" s="34">
        <v>13.486000000000001</v>
      </c>
      <c r="AD225" s="34">
        <v>4.4727888900000004</v>
      </c>
      <c r="AE225" s="34">
        <v>18.554500000000001</v>
      </c>
    </row>
    <row r="226" spans="1:31" x14ac:dyDescent="0.3">
      <c r="A226" s="3" t="s">
        <v>63</v>
      </c>
      <c r="B226" s="27">
        <v>20284</v>
      </c>
      <c r="C226" s="29">
        <v>2921262</v>
      </c>
      <c r="D226" s="29">
        <v>12860</v>
      </c>
      <c r="E226" s="30">
        <v>15644.5</v>
      </c>
      <c r="F226" s="30">
        <v>23346.5</v>
      </c>
      <c r="G226" s="30">
        <v>8.3000000000000007</v>
      </c>
      <c r="H226" s="30">
        <v>5.5</v>
      </c>
      <c r="I226" s="33">
        <v>7.6</v>
      </c>
      <c r="J226" s="33">
        <v>74.61</v>
      </c>
      <c r="K226" s="33">
        <v>1.7</v>
      </c>
      <c r="L226" s="29">
        <v>136021</v>
      </c>
      <c r="M226" s="32">
        <v>28.1</v>
      </c>
      <c r="N226" s="32">
        <v>46.4</v>
      </c>
      <c r="O226" s="32">
        <v>11620</v>
      </c>
      <c r="P226" s="34">
        <v>26057.8</v>
      </c>
      <c r="Q226" s="34">
        <v>25685.5</v>
      </c>
      <c r="R226" s="34">
        <v>4227389</v>
      </c>
      <c r="S226" s="34">
        <v>13.8</v>
      </c>
      <c r="T226" s="34">
        <v>53</v>
      </c>
      <c r="U226" s="34">
        <v>33.200000000000003</v>
      </c>
      <c r="V226" s="34">
        <v>0.86499999999999999</v>
      </c>
      <c r="W226" s="34">
        <v>16.670200350000002</v>
      </c>
      <c r="X226" s="34">
        <v>12.955410000000001</v>
      </c>
      <c r="Y226" s="34">
        <v>29651.686809999999</v>
      </c>
      <c r="Z226" s="34">
        <v>1.0269999999999999</v>
      </c>
      <c r="AA226" s="34">
        <v>0.13600000000000001</v>
      </c>
      <c r="AB226" s="34">
        <v>8.42008154</v>
      </c>
      <c r="AC226" s="34">
        <v>14.238</v>
      </c>
      <c r="AD226" s="34">
        <v>4.4050388610000004</v>
      </c>
      <c r="AE226" s="34">
        <v>18.2455</v>
      </c>
    </row>
    <row r="227" spans="1:31" x14ac:dyDescent="0.3">
      <c r="A227" s="3" t="s">
        <v>236</v>
      </c>
      <c r="B227" s="27">
        <v>38914</v>
      </c>
      <c r="C227" s="29">
        <v>2795680</v>
      </c>
      <c r="D227" s="29">
        <v>20110</v>
      </c>
      <c r="E227" s="30">
        <v>26959.4</v>
      </c>
      <c r="F227" s="30">
        <v>32517.1</v>
      </c>
      <c r="G227" s="30">
        <v>5.3</v>
      </c>
      <c r="H227" s="30">
        <v>5.3</v>
      </c>
      <c r="I227" s="33">
        <v>6</v>
      </c>
      <c r="J227" s="33">
        <v>73.72</v>
      </c>
      <c r="K227" s="33">
        <v>1.36</v>
      </c>
      <c r="L227" s="29">
        <v>165164</v>
      </c>
      <c r="M227" s="32">
        <v>30.7</v>
      </c>
      <c r="N227" s="32">
        <v>44.6</v>
      </c>
      <c r="O227" s="32">
        <v>14870</v>
      </c>
      <c r="P227" s="34">
        <v>42680.9</v>
      </c>
      <c r="Q227" s="34">
        <v>45219.8</v>
      </c>
      <c r="R227" s="34">
        <v>2464603</v>
      </c>
      <c r="S227" s="34">
        <v>10.9</v>
      </c>
      <c r="T227" s="34">
        <v>49.4</v>
      </c>
      <c r="U227" s="34">
        <v>39.799999999999997</v>
      </c>
      <c r="V227" s="34">
        <v>0.875</v>
      </c>
      <c r="W227" s="34">
        <v>16.399829860000001</v>
      </c>
      <c r="X227" s="34">
        <v>13.498100279999999</v>
      </c>
      <c r="Y227" s="34">
        <v>37854.467879999997</v>
      </c>
      <c r="Z227" s="34">
        <v>1.0269999999999999</v>
      </c>
      <c r="AA227" s="34">
        <v>0.105</v>
      </c>
      <c r="AB227" s="34">
        <v>8.6604844609999994</v>
      </c>
      <c r="AC227" s="34">
        <v>10.377000000000001</v>
      </c>
      <c r="AD227" s="34">
        <v>4.962838906</v>
      </c>
      <c r="AE227" s="34">
        <v>33.668100000000003</v>
      </c>
    </row>
    <row r="228" spans="1:31" x14ac:dyDescent="0.3">
      <c r="A228" s="3" t="s">
        <v>149</v>
      </c>
      <c r="B228" s="27">
        <v>18233</v>
      </c>
      <c r="C228" s="29">
        <v>1934379</v>
      </c>
      <c r="D228" s="29">
        <v>15130</v>
      </c>
      <c r="E228" s="30">
        <v>13909.8</v>
      </c>
      <c r="F228" s="30">
        <v>17375.5</v>
      </c>
      <c r="G228" s="30">
        <v>7.7</v>
      </c>
      <c r="H228" s="30">
        <v>8.3000000000000007</v>
      </c>
      <c r="I228" s="33">
        <v>4.4000000000000004</v>
      </c>
      <c r="J228" s="33">
        <v>75.001000000000005</v>
      </c>
      <c r="K228" s="33">
        <v>1.6</v>
      </c>
      <c r="L228" s="29">
        <v>246040</v>
      </c>
      <c r="M228" s="32">
        <v>31.4</v>
      </c>
      <c r="N228" s="32">
        <v>30.4</v>
      </c>
      <c r="O228" s="32">
        <v>12140</v>
      </c>
      <c r="P228" s="34">
        <v>18123</v>
      </c>
      <c r="Q228" s="34">
        <v>17917.5</v>
      </c>
      <c r="R228" s="34">
        <v>7037070</v>
      </c>
      <c r="S228" s="34">
        <v>15.3</v>
      </c>
      <c r="T228" s="34">
        <v>54.7</v>
      </c>
      <c r="U228" s="34">
        <v>30.1</v>
      </c>
      <c r="V228" s="34">
        <v>0.86799999999999999</v>
      </c>
      <c r="W228" s="34">
        <v>16.561050420000001</v>
      </c>
      <c r="X228" s="34">
        <v>13.183250429999999</v>
      </c>
      <c r="Y228" s="34">
        <v>29559.860100000002</v>
      </c>
      <c r="Z228" s="34">
        <v>1.028</v>
      </c>
      <c r="AA228" s="34">
        <v>0.17</v>
      </c>
      <c r="AB228" s="34">
        <v>23.367216989999999</v>
      </c>
      <c r="AC228" s="34">
        <v>12.499000000000001</v>
      </c>
      <c r="AD228" s="34">
        <v>4.0622433009999996</v>
      </c>
      <c r="AE228" s="34">
        <v>22.293800000000001</v>
      </c>
    </row>
    <row r="229" spans="1:31" x14ac:dyDescent="0.3">
      <c r="A229" s="3" t="s">
        <v>91</v>
      </c>
      <c r="B229" s="27">
        <v>16698</v>
      </c>
      <c r="C229" s="29">
        <v>1968957</v>
      </c>
      <c r="D229" s="29">
        <v>12950</v>
      </c>
      <c r="E229" s="30">
        <v>11609.1</v>
      </c>
      <c r="F229" s="30">
        <v>15398.2</v>
      </c>
      <c r="G229" s="30">
        <v>8.1</v>
      </c>
      <c r="H229" s="30">
        <v>10</v>
      </c>
      <c r="I229" s="33">
        <v>6.6</v>
      </c>
      <c r="J229" s="33">
        <v>74.754000000000005</v>
      </c>
      <c r="K229" s="33">
        <v>1.74</v>
      </c>
      <c r="L229" s="29">
        <v>258889</v>
      </c>
      <c r="M229" s="32">
        <v>30.2</v>
      </c>
      <c r="N229" s="32">
        <v>31</v>
      </c>
      <c r="O229" s="32">
        <v>11110</v>
      </c>
      <c r="P229" s="34">
        <v>15046.1</v>
      </c>
      <c r="Q229" s="34">
        <v>15123.1</v>
      </c>
      <c r="R229" s="34">
        <v>5384160</v>
      </c>
      <c r="S229" s="34">
        <v>14.9</v>
      </c>
      <c r="T229" s="34">
        <v>55.6</v>
      </c>
      <c r="U229" s="34">
        <v>29.5</v>
      </c>
      <c r="V229" s="34">
        <v>0.85799999999999998</v>
      </c>
      <c r="W229" s="34">
        <v>16.261510850000001</v>
      </c>
      <c r="X229" s="34">
        <v>12.934809680000001</v>
      </c>
      <c r="Y229" s="34">
        <v>27470.881939999999</v>
      </c>
      <c r="Z229" s="34">
        <v>1.0289999999999999</v>
      </c>
      <c r="AA229" s="34">
        <v>0.21</v>
      </c>
      <c r="AB229" s="34">
        <v>21.447288759999999</v>
      </c>
      <c r="AC229" s="34">
        <v>15.212</v>
      </c>
      <c r="AD229" s="34">
        <v>3.6542628339999998</v>
      </c>
      <c r="AE229" s="34">
        <v>17.7927</v>
      </c>
    </row>
    <row r="230" spans="1:31" x14ac:dyDescent="0.3">
      <c r="A230" s="3" t="s">
        <v>120</v>
      </c>
      <c r="B230" s="27">
        <v>16878</v>
      </c>
      <c r="C230" s="29">
        <v>1950116</v>
      </c>
      <c r="D230" s="29">
        <v>13900</v>
      </c>
      <c r="E230" s="30">
        <v>12525.7</v>
      </c>
      <c r="F230" s="30">
        <v>16368.6</v>
      </c>
      <c r="G230" s="30">
        <v>7</v>
      </c>
      <c r="H230" s="30">
        <v>8.6</v>
      </c>
      <c r="I230" s="33">
        <v>6.8</v>
      </c>
      <c r="J230" s="33">
        <v>74.805000000000007</v>
      </c>
      <c r="K230" s="33">
        <v>1.69</v>
      </c>
      <c r="L230" s="29">
        <v>251465</v>
      </c>
      <c r="M230" s="32">
        <v>30.8</v>
      </c>
      <c r="N230" s="32">
        <v>30.7</v>
      </c>
      <c r="O230" s="32">
        <v>11590</v>
      </c>
      <c r="P230" s="34">
        <v>16801.3</v>
      </c>
      <c r="Q230" s="34">
        <v>16619.599999999999</v>
      </c>
      <c r="R230" s="34">
        <v>6077854</v>
      </c>
      <c r="S230" s="34">
        <v>15.2</v>
      </c>
      <c r="T230" s="34">
        <v>54.8</v>
      </c>
      <c r="U230" s="34">
        <v>30</v>
      </c>
      <c r="V230" s="34">
        <v>0.86299999999999999</v>
      </c>
      <c r="W230" s="34">
        <v>16.47373009</v>
      </c>
      <c r="X230" s="34">
        <v>13.05903006</v>
      </c>
      <c r="Y230" s="34">
        <v>28601.62774</v>
      </c>
      <c r="Z230" s="34">
        <v>1.0289999999999999</v>
      </c>
      <c r="AA230" s="34">
        <v>0.214</v>
      </c>
      <c r="AB230" s="34">
        <v>21.79118059</v>
      </c>
      <c r="AC230" s="34">
        <v>14.151999999999999</v>
      </c>
      <c r="AD230" s="34">
        <v>3.6914626199999998</v>
      </c>
      <c r="AE230" s="34">
        <v>19.164999999999999</v>
      </c>
    </row>
    <row r="231" spans="1:31" x14ac:dyDescent="0.3">
      <c r="A231" s="3" t="s">
        <v>62</v>
      </c>
      <c r="B231" s="27">
        <v>16357</v>
      </c>
      <c r="C231" s="29">
        <v>1986096</v>
      </c>
      <c r="D231" s="29">
        <v>12430</v>
      </c>
      <c r="E231" s="30">
        <v>10893.7</v>
      </c>
      <c r="F231" s="30">
        <v>14709.9</v>
      </c>
      <c r="G231" s="30">
        <v>9.5</v>
      </c>
      <c r="H231" s="30">
        <v>9.9</v>
      </c>
      <c r="I231" s="33">
        <v>6.9</v>
      </c>
      <c r="J231" s="33">
        <v>74.685000000000002</v>
      </c>
      <c r="K231" s="33">
        <v>1.7</v>
      </c>
      <c r="L231" s="29">
        <v>265418</v>
      </c>
      <c r="M231" s="32">
        <v>29.5</v>
      </c>
      <c r="N231" s="32">
        <v>31.8</v>
      </c>
      <c r="O231" s="32">
        <v>10760</v>
      </c>
      <c r="P231" s="34">
        <v>15240.6</v>
      </c>
      <c r="Q231" s="34">
        <v>14810.9</v>
      </c>
      <c r="R231" s="34">
        <v>5145856</v>
      </c>
      <c r="S231" s="34">
        <v>15.6</v>
      </c>
      <c r="T231" s="34">
        <v>56.3</v>
      </c>
      <c r="U231" s="34">
        <v>28.1</v>
      </c>
      <c r="V231" s="34">
        <v>0.85299999999999998</v>
      </c>
      <c r="W231" s="34">
        <v>16.09433937</v>
      </c>
      <c r="X231" s="34">
        <v>12.87024021</v>
      </c>
      <c r="Y231" s="34">
        <v>26505.448919999999</v>
      </c>
      <c r="Z231" s="34">
        <v>1.03</v>
      </c>
      <c r="AA231" s="34">
        <v>0.224</v>
      </c>
      <c r="AB231" s="34">
        <v>22.237459390000001</v>
      </c>
      <c r="AC231" s="34">
        <v>17.327999999999999</v>
      </c>
      <c r="AD231" s="34">
        <v>3.6464177150000001</v>
      </c>
      <c r="AE231" s="34">
        <v>18.244599999999998</v>
      </c>
    </row>
    <row r="232" spans="1:31" x14ac:dyDescent="0.3">
      <c r="A232" s="44" t="s">
        <v>420</v>
      </c>
      <c r="B232" s="37" t="s">
        <v>421</v>
      </c>
      <c r="C232" s="38" t="s">
        <v>417</v>
      </c>
      <c r="D232" s="38" t="s">
        <v>418</v>
      </c>
      <c r="E232" s="38" t="s">
        <v>419</v>
      </c>
      <c r="F232" s="38" t="s">
        <v>422</v>
      </c>
      <c r="G232" s="38" t="s">
        <v>423</v>
      </c>
      <c r="H232" s="38" t="s">
        <v>424</v>
      </c>
      <c r="I232" s="38" t="s">
        <v>425</v>
      </c>
      <c r="J232" s="38" t="s">
        <v>426</v>
      </c>
      <c r="K232" s="38" t="s">
        <v>427</v>
      </c>
      <c r="L232" s="38" t="s">
        <v>428</v>
      </c>
      <c r="M232" s="38" t="s">
        <v>429</v>
      </c>
      <c r="N232" s="38" t="s">
        <v>430</v>
      </c>
      <c r="O232" s="38" t="s">
        <v>431</v>
      </c>
      <c r="P232" s="38" t="s">
        <v>432</v>
      </c>
      <c r="Q232" s="38" t="s">
        <v>433</v>
      </c>
      <c r="R232" s="38" t="s">
        <v>434</v>
      </c>
      <c r="S232" s="38" t="s">
        <v>435</v>
      </c>
      <c r="T232" s="38" t="s">
        <v>436</v>
      </c>
      <c r="U232" s="38" t="s">
        <v>437</v>
      </c>
      <c r="V232" s="38" t="s">
        <v>438</v>
      </c>
      <c r="W232" s="38" t="s">
        <v>439</v>
      </c>
      <c r="X232" s="38" t="s">
        <v>440</v>
      </c>
      <c r="Y232" s="38" t="s">
        <v>441</v>
      </c>
      <c r="Z232" s="38" t="s">
        <v>442</v>
      </c>
      <c r="AA232" s="38" t="s">
        <v>443</v>
      </c>
      <c r="AB232" s="38" t="s">
        <v>444</v>
      </c>
      <c r="AC232" s="38" t="s">
        <v>445</v>
      </c>
      <c r="AD232" s="38" t="s">
        <v>446</v>
      </c>
      <c r="AE232" s="38" t="s">
        <v>447</v>
      </c>
    </row>
  </sheetData>
  <autoFilter ref="A1:AE232" xr:uid="{F1B09C47-31CD-4945-BAFB-0B1C8C5C9741}">
    <sortState xmlns:xlrd2="http://schemas.microsoft.com/office/spreadsheetml/2017/richdata2" ref="A2:AE232">
      <sortCondition ref="Z1:Z232"/>
    </sortState>
  </autoFilter>
  <phoneticPr fontId="28" type="noConversion"/>
  <conditionalFormatting sqref="C1:AE232">
    <cfRule type="expression" dxfId="1" priority="1">
      <formula>"="</formula>
    </cfRule>
    <cfRule type="expression" dxfId="0" priority="2">
      <formula xml:space="preserve"> " "</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9ADC3-0D89-4FD0-B4EC-8865E47CD1C8}">
  <dimension ref="A1:O238"/>
  <sheetViews>
    <sheetView topLeftCell="A17" workbookViewId="0">
      <selection activeCell="A197" sqref="A197"/>
    </sheetView>
  </sheetViews>
  <sheetFormatPr defaultRowHeight="15.6" x14ac:dyDescent="0.3"/>
  <sheetData>
    <row r="1" spans="1:15" x14ac:dyDescent="0.3">
      <c r="A1" s="22" t="s">
        <v>248</v>
      </c>
      <c r="B1" s="6"/>
      <c r="C1" s="24"/>
      <c r="D1" s="6"/>
      <c r="E1" s="6"/>
      <c r="F1" s="6"/>
      <c r="G1" s="6"/>
      <c r="H1" s="6"/>
      <c r="I1" s="6"/>
      <c r="J1" s="6"/>
      <c r="K1" s="6"/>
      <c r="L1" s="6"/>
      <c r="M1" s="6"/>
      <c r="N1" s="6"/>
      <c r="O1" s="7"/>
    </row>
    <row r="2" spans="1:15" x14ac:dyDescent="0.3">
      <c r="A2" s="20" t="s">
        <v>249</v>
      </c>
      <c r="B2" s="21" t="s">
        <v>250</v>
      </c>
      <c r="C2" s="5"/>
      <c r="O2" s="9"/>
    </row>
    <row r="3" spans="1:15" x14ac:dyDescent="0.3">
      <c r="A3" s="10" t="s">
        <v>251</v>
      </c>
      <c r="B3" s="23"/>
      <c r="C3" s="5"/>
      <c r="O3" s="9"/>
    </row>
    <row r="4" spans="1:15" x14ac:dyDescent="0.3">
      <c r="A4" s="11" t="s">
        <v>252</v>
      </c>
      <c r="C4" s="5" t="s">
        <v>253</v>
      </c>
      <c r="O4" s="9"/>
    </row>
    <row r="5" spans="1:15" x14ac:dyDescent="0.3">
      <c r="A5" s="11" t="s">
        <v>254</v>
      </c>
      <c r="C5" s="5"/>
      <c r="O5" s="9"/>
    </row>
    <row r="6" spans="1:15" ht="16.2" thickBot="1" x14ac:dyDescent="0.35">
      <c r="A6" s="12" t="s">
        <v>255</v>
      </c>
      <c r="B6" s="2"/>
      <c r="C6" s="13" t="s">
        <v>256</v>
      </c>
      <c r="D6" s="2"/>
      <c r="E6" s="2"/>
      <c r="F6" s="2"/>
      <c r="G6" s="2"/>
      <c r="H6" s="2"/>
      <c r="I6" s="2"/>
      <c r="J6" s="2"/>
      <c r="K6" s="2"/>
      <c r="L6" s="2"/>
      <c r="M6" s="2"/>
      <c r="N6" s="2"/>
      <c r="O6" s="14"/>
    </row>
    <row r="7" spans="1:15" x14ac:dyDescent="0.3">
      <c r="A7" s="22" t="s">
        <v>257</v>
      </c>
      <c r="C7" s="5"/>
      <c r="O7" s="9"/>
    </row>
    <row r="8" spans="1:15" x14ac:dyDescent="0.3">
      <c r="A8" s="8" t="str">
        <f>HYPERLINK("https://stats.oecd.org/Index.aspx?DataSetCode=TABLE1_AEO#","Link")</f>
        <v>Link</v>
      </c>
      <c r="C8" s="5"/>
      <c r="O8" s="9"/>
    </row>
    <row r="9" spans="1:15" x14ac:dyDescent="0.3">
      <c r="A9" s="10" t="s">
        <v>251</v>
      </c>
      <c r="C9" s="5"/>
      <c r="O9" s="9"/>
    </row>
    <row r="10" spans="1:15" x14ac:dyDescent="0.3">
      <c r="A10" s="11" t="s">
        <v>252</v>
      </c>
      <c r="C10" s="5" t="s">
        <v>253</v>
      </c>
      <c r="O10" s="9"/>
    </row>
    <row r="11" spans="1:15" x14ac:dyDescent="0.3">
      <c r="A11" s="11" t="s">
        <v>254</v>
      </c>
      <c r="C11" s="5"/>
      <c r="O11" s="9"/>
    </row>
    <row r="12" spans="1:15" ht="16.2" thickBot="1" x14ac:dyDescent="0.35">
      <c r="A12" s="12" t="s">
        <v>255</v>
      </c>
      <c r="C12" s="5" t="s">
        <v>256</v>
      </c>
      <c r="O12" s="9"/>
    </row>
    <row r="13" spans="1:15" x14ac:dyDescent="0.3">
      <c r="A13" s="22" t="s">
        <v>258</v>
      </c>
      <c r="B13" s="6"/>
      <c r="C13" s="6"/>
      <c r="D13" s="6"/>
      <c r="E13" s="6"/>
      <c r="F13" s="6"/>
      <c r="G13" s="6"/>
      <c r="H13" s="6"/>
      <c r="I13" s="6"/>
      <c r="J13" s="6"/>
      <c r="K13" s="6"/>
      <c r="L13" s="6"/>
      <c r="M13" s="6"/>
      <c r="N13" s="6"/>
      <c r="O13" s="7"/>
    </row>
    <row r="14" spans="1:15" x14ac:dyDescent="0.3">
      <c r="A14" s="8" t="s">
        <v>259</v>
      </c>
      <c r="B14" s="1" t="s">
        <v>260</v>
      </c>
      <c r="O14" s="9"/>
    </row>
    <row r="15" spans="1:15" ht="42.75" customHeight="1" thickBot="1" x14ac:dyDescent="0.35">
      <c r="A15" s="19" t="s">
        <v>251</v>
      </c>
      <c r="B15" s="39" t="s">
        <v>261</v>
      </c>
      <c r="C15" s="39"/>
      <c r="D15" s="39"/>
      <c r="E15" s="39"/>
      <c r="F15" s="39"/>
      <c r="G15" s="39"/>
      <c r="H15" s="39"/>
      <c r="I15" s="39"/>
      <c r="J15" s="39"/>
      <c r="K15" s="39"/>
      <c r="L15" s="39"/>
      <c r="M15" s="39"/>
      <c r="N15" s="39"/>
      <c r="O15" s="39"/>
    </row>
    <row r="16" spans="1:15" x14ac:dyDescent="0.3">
      <c r="A16" s="22" t="s">
        <v>262</v>
      </c>
      <c r="B16" s="6"/>
      <c r="C16" s="6"/>
      <c r="D16" s="6"/>
      <c r="E16" s="6"/>
      <c r="F16" s="6"/>
      <c r="G16" s="6"/>
      <c r="H16" s="6"/>
      <c r="I16" s="6"/>
      <c r="J16" s="6"/>
      <c r="K16" s="6"/>
      <c r="L16" s="6"/>
      <c r="M16" s="6"/>
      <c r="N16" s="6"/>
      <c r="O16" s="7"/>
    </row>
    <row r="17" spans="1:15" x14ac:dyDescent="0.3">
      <c r="A17" s="8" t="s">
        <v>259</v>
      </c>
      <c r="B17" s="1" t="s">
        <v>260</v>
      </c>
      <c r="O17" s="9"/>
    </row>
    <row r="18" spans="1:15" ht="34.200000000000003" customHeight="1" x14ac:dyDescent="0.3">
      <c r="A18" s="10" t="s">
        <v>251</v>
      </c>
      <c r="B18" s="40" t="s">
        <v>263</v>
      </c>
      <c r="C18" s="40"/>
      <c r="D18" s="40"/>
      <c r="E18" s="40"/>
      <c r="F18" s="40"/>
      <c r="G18" s="40"/>
      <c r="H18" s="40"/>
      <c r="I18" s="40"/>
      <c r="J18" s="40"/>
      <c r="K18" s="40"/>
      <c r="L18" s="40"/>
      <c r="M18" s="40"/>
      <c r="N18" s="40"/>
      <c r="O18" s="40"/>
    </row>
    <row r="19" spans="1:15" x14ac:dyDescent="0.3">
      <c r="A19" s="15"/>
      <c r="B19" s="4" t="s">
        <v>252</v>
      </c>
      <c r="C19" s="5" t="s">
        <v>253</v>
      </c>
      <c r="O19" s="9"/>
    </row>
    <row r="20" spans="1:15" x14ac:dyDescent="0.3">
      <c r="A20" s="16"/>
      <c r="B20" s="4" t="s">
        <v>254</v>
      </c>
      <c r="C20" s="5" t="s">
        <v>264</v>
      </c>
      <c r="D20" s="5"/>
      <c r="O20" s="9"/>
    </row>
    <row r="21" spans="1:15" ht="16.2" thickBot="1" x14ac:dyDescent="0.35">
      <c r="A21" s="17"/>
      <c r="B21" s="18" t="s">
        <v>255</v>
      </c>
      <c r="C21" s="13" t="s">
        <v>265</v>
      </c>
      <c r="D21" s="13"/>
      <c r="E21" s="2"/>
      <c r="F21" s="2"/>
      <c r="G21" s="2"/>
      <c r="H21" s="2"/>
      <c r="I21" s="2"/>
      <c r="J21" s="2"/>
      <c r="K21" s="2"/>
      <c r="L21" s="2"/>
      <c r="M21" s="2"/>
      <c r="N21" s="2"/>
      <c r="O21" s="14"/>
    </row>
    <row r="22" spans="1:15" x14ac:dyDescent="0.3">
      <c r="A22" s="22" t="s">
        <v>266</v>
      </c>
      <c r="B22" s="6"/>
      <c r="C22" s="6"/>
      <c r="D22" s="6"/>
      <c r="E22" s="6"/>
      <c r="F22" s="6"/>
      <c r="G22" s="6"/>
      <c r="H22" s="6"/>
      <c r="I22" s="6"/>
      <c r="J22" s="6"/>
      <c r="K22" s="6"/>
      <c r="L22" s="6"/>
      <c r="M22" s="6"/>
      <c r="N22" s="6"/>
      <c r="O22" s="7"/>
    </row>
    <row r="23" spans="1:15" x14ac:dyDescent="0.3">
      <c r="A23" s="8" t="s">
        <v>259</v>
      </c>
      <c r="B23" s="1" t="s">
        <v>260</v>
      </c>
      <c r="O23" s="9"/>
    </row>
    <row r="24" spans="1:15" ht="24.6" customHeight="1" x14ac:dyDescent="0.3">
      <c r="A24" s="10" t="s">
        <v>251</v>
      </c>
      <c r="B24" s="40" t="s">
        <v>267</v>
      </c>
      <c r="C24" s="40"/>
      <c r="D24" s="40"/>
      <c r="E24" s="40"/>
      <c r="F24" s="40"/>
      <c r="G24" s="40"/>
      <c r="H24" s="40"/>
      <c r="I24" s="40"/>
      <c r="J24" s="40"/>
      <c r="K24" s="40"/>
      <c r="L24" s="40"/>
      <c r="M24" s="40"/>
      <c r="N24" s="40"/>
      <c r="O24" s="40"/>
    </row>
    <row r="25" spans="1:15" x14ac:dyDescent="0.3">
      <c r="A25" s="11" t="s">
        <v>252</v>
      </c>
      <c r="C25" s="5" t="s">
        <v>253</v>
      </c>
      <c r="O25" s="9"/>
    </row>
    <row r="26" spans="1:15" x14ac:dyDescent="0.3">
      <c r="A26" s="11" t="s">
        <v>254</v>
      </c>
      <c r="C26" s="5" t="s">
        <v>268</v>
      </c>
      <c r="O26" s="9"/>
    </row>
    <row r="27" spans="1:15" ht="16.2" thickBot="1" x14ac:dyDescent="0.35">
      <c r="A27" s="12" t="s">
        <v>255</v>
      </c>
      <c r="B27" s="2"/>
      <c r="C27" s="13" t="s">
        <v>269</v>
      </c>
      <c r="D27" s="2"/>
      <c r="E27" s="2"/>
      <c r="F27" s="2"/>
      <c r="G27" s="2"/>
      <c r="H27" s="2"/>
      <c r="I27" s="2"/>
      <c r="J27" s="2"/>
      <c r="K27" s="2"/>
      <c r="L27" s="2"/>
      <c r="M27" s="2"/>
      <c r="N27" s="2"/>
      <c r="O27" s="14"/>
    </row>
    <row r="28" spans="1:15" x14ac:dyDescent="0.3">
      <c r="A28" s="22" t="s">
        <v>270</v>
      </c>
      <c r="B28" s="6"/>
      <c r="C28" s="6"/>
      <c r="D28" s="6"/>
      <c r="E28" s="6"/>
      <c r="F28" s="6"/>
      <c r="G28" s="6"/>
      <c r="H28" s="6"/>
      <c r="I28" s="6"/>
      <c r="J28" s="6"/>
      <c r="K28" s="6"/>
      <c r="L28" s="6"/>
      <c r="M28" s="6"/>
      <c r="N28" s="6"/>
      <c r="O28" s="7"/>
    </row>
    <row r="29" spans="1:15" x14ac:dyDescent="0.3">
      <c r="A29" s="8" t="s">
        <v>259</v>
      </c>
      <c r="B29" s="1" t="s">
        <v>260</v>
      </c>
      <c r="O29" s="9"/>
    </row>
    <row r="30" spans="1:15" ht="52.2" customHeight="1" x14ac:dyDescent="0.3">
      <c r="A30" s="10" t="s">
        <v>251</v>
      </c>
      <c r="B30" s="40" t="s">
        <v>271</v>
      </c>
      <c r="C30" s="40"/>
      <c r="D30" s="40"/>
      <c r="E30" s="40"/>
      <c r="F30" s="40"/>
      <c r="G30" s="40"/>
      <c r="H30" s="40"/>
      <c r="I30" s="40"/>
      <c r="J30" s="40"/>
      <c r="K30" s="40"/>
      <c r="L30" s="40"/>
      <c r="M30" s="40"/>
      <c r="N30" s="40"/>
      <c r="O30" s="40"/>
    </row>
    <row r="31" spans="1:15" x14ac:dyDescent="0.3">
      <c r="A31" s="11" t="s">
        <v>252</v>
      </c>
      <c r="C31" s="5" t="s">
        <v>253</v>
      </c>
      <c r="O31" s="9"/>
    </row>
    <row r="32" spans="1:15" x14ac:dyDescent="0.3">
      <c r="A32" s="11" t="s">
        <v>254</v>
      </c>
      <c r="C32" s="5" t="s">
        <v>272</v>
      </c>
      <c r="D32" s="5"/>
      <c r="O32" s="9"/>
    </row>
    <row r="33" spans="1:15" ht="16.2" thickBot="1" x14ac:dyDescent="0.35">
      <c r="A33" s="12" t="s">
        <v>255</v>
      </c>
      <c r="B33" s="2"/>
      <c r="C33" s="13" t="s">
        <v>269</v>
      </c>
      <c r="D33" s="13"/>
      <c r="E33" s="2"/>
      <c r="F33" s="2"/>
      <c r="G33" s="2"/>
      <c r="H33" s="2"/>
      <c r="I33" s="2"/>
      <c r="J33" s="2"/>
      <c r="K33" s="2"/>
      <c r="L33" s="2"/>
      <c r="M33" s="2"/>
      <c r="N33" s="2"/>
      <c r="O33" s="14"/>
    </row>
    <row r="34" spans="1:15" x14ac:dyDescent="0.3">
      <c r="A34" s="22" t="s">
        <v>273</v>
      </c>
      <c r="B34" s="6"/>
      <c r="C34" s="6"/>
      <c r="D34" s="6"/>
      <c r="E34" s="6"/>
      <c r="F34" s="6"/>
      <c r="G34" s="6"/>
      <c r="H34" s="6"/>
      <c r="I34" s="6"/>
      <c r="J34" s="6"/>
      <c r="K34" s="6"/>
      <c r="L34" s="6"/>
      <c r="M34" s="6"/>
      <c r="N34" s="6"/>
      <c r="O34" s="7"/>
    </row>
    <row r="35" spans="1:15" x14ac:dyDescent="0.3">
      <c r="A35" s="8" t="s">
        <v>259</v>
      </c>
      <c r="B35" s="1" t="s">
        <v>260</v>
      </c>
      <c r="O35" s="9"/>
    </row>
    <row r="36" spans="1:15" x14ac:dyDescent="0.3">
      <c r="A36" s="10" t="s">
        <v>251</v>
      </c>
      <c r="B36" s="40" t="s">
        <v>274</v>
      </c>
      <c r="C36" s="40"/>
      <c r="D36" s="40"/>
      <c r="E36" s="40"/>
      <c r="F36" s="40"/>
      <c r="G36" s="40"/>
      <c r="H36" s="40"/>
      <c r="I36" s="40"/>
      <c r="J36" s="40"/>
      <c r="K36" s="40"/>
      <c r="L36" s="40"/>
      <c r="M36" s="40"/>
      <c r="N36" s="40"/>
      <c r="O36" s="40"/>
    </row>
    <row r="37" spans="1:15" x14ac:dyDescent="0.3">
      <c r="A37" s="11" t="s">
        <v>252</v>
      </c>
      <c r="C37" s="5" t="s">
        <v>253</v>
      </c>
      <c r="O37" s="9"/>
    </row>
    <row r="38" spans="1:15" x14ac:dyDescent="0.3">
      <c r="A38" s="11" t="s">
        <v>275</v>
      </c>
      <c r="C38" s="5" t="s">
        <v>276</v>
      </c>
      <c r="D38" s="5"/>
      <c r="O38" s="9"/>
    </row>
    <row r="39" spans="1:15" ht="16.2" thickBot="1" x14ac:dyDescent="0.35">
      <c r="A39" s="12" t="s">
        <v>255</v>
      </c>
      <c r="B39" s="2"/>
      <c r="C39" s="13" t="s">
        <v>277</v>
      </c>
      <c r="D39" s="13"/>
      <c r="E39" s="2"/>
      <c r="F39" s="2"/>
      <c r="G39" s="2"/>
      <c r="H39" s="2"/>
      <c r="I39" s="2"/>
      <c r="J39" s="2"/>
      <c r="K39" s="2"/>
      <c r="L39" s="2"/>
      <c r="M39" s="2"/>
      <c r="N39" s="2"/>
      <c r="O39" s="14"/>
    </row>
    <row r="40" spans="1:15" x14ac:dyDescent="0.3">
      <c r="A40" s="22" t="s">
        <v>278</v>
      </c>
      <c r="B40" s="6"/>
      <c r="C40" s="6"/>
      <c r="D40" s="6"/>
      <c r="E40" s="6"/>
      <c r="F40" s="6"/>
      <c r="G40" s="6"/>
      <c r="H40" s="6"/>
      <c r="I40" s="6"/>
      <c r="J40" s="6"/>
      <c r="K40" s="6"/>
      <c r="L40" s="6"/>
      <c r="M40" s="6"/>
      <c r="N40" s="6"/>
      <c r="O40" s="7"/>
    </row>
    <row r="41" spans="1:15" x14ac:dyDescent="0.3">
      <c r="A41" s="8" t="s">
        <v>259</v>
      </c>
      <c r="B41" s="1" t="s">
        <v>260</v>
      </c>
      <c r="O41" s="9"/>
    </row>
    <row r="42" spans="1:15" ht="42.75" customHeight="1" x14ac:dyDescent="0.3">
      <c r="A42" s="10" t="s">
        <v>251</v>
      </c>
      <c r="B42" s="40" t="s">
        <v>279</v>
      </c>
      <c r="C42" s="40"/>
      <c r="D42" s="40"/>
      <c r="E42" s="40"/>
      <c r="F42" s="40"/>
      <c r="G42" s="40"/>
      <c r="H42" s="40"/>
      <c r="I42" s="40"/>
      <c r="J42" s="40"/>
      <c r="K42" s="40"/>
      <c r="L42" s="40"/>
      <c r="M42" s="40"/>
      <c r="N42" s="40"/>
      <c r="O42" s="40"/>
    </row>
    <row r="43" spans="1:15" x14ac:dyDescent="0.3">
      <c r="A43" s="11" t="s">
        <v>252</v>
      </c>
      <c r="C43" s="5" t="s">
        <v>253</v>
      </c>
      <c r="O43" s="9"/>
    </row>
    <row r="44" spans="1:15" x14ac:dyDescent="0.3">
      <c r="A44" s="11" t="s">
        <v>280</v>
      </c>
      <c r="C44" s="5" t="s">
        <v>276</v>
      </c>
      <c r="D44" s="5"/>
      <c r="O44" s="9"/>
    </row>
    <row r="45" spans="1:15" x14ac:dyDescent="0.3">
      <c r="A45" s="11" t="s">
        <v>281</v>
      </c>
      <c r="C45" s="5" t="s">
        <v>282</v>
      </c>
      <c r="D45" s="5"/>
      <c r="O45" s="9"/>
    </row>
    <row r="46" spans="1:15" ht="16.2" thickBot="1" x14ac:dyDescent="0.35">
      <c r="A46" s="12" t="s">
        <v>255</v>
      </c>
      <c r="B46" s="2"/>
      <c r="C46" s="13" t="s">
        <v>283</v>
      </c>
      <c r="D46" s="2"/>
      <c r="E46" s="2"/>
      <c r="F46" s="2"/>
      <c r="G46" s="2"/>
      <c r="H46" s="2"/>
      <c r="I46" s="2"/>
      <c r="J46" s="2"/>
      <c r="K46" s="2"/>
      <c r="L46" s="2"/>
      <c r="M46" s="2"/>
      <c r="N46" s="2"/>
      <c r="O46" s="14"/>
    </row>
    <row r="47" spans="1:15" x14ac:dyDescent="0.3">
      <c r="A47" s="22" t="s">
        <v>284</v>
      </c>
      <c r="B47" s="6"/>
      <c r="C47" s="6"/>
      <c r="D47" s="6"/>
      <c r="E47" s="6"/>
      <c r="F47" s="6"/>
      <c r="G47" s="6"/>
      <c r="H47" s="6"/>
      <c r="I47" s="6"/>
      <c r="J47" s="6"/>
      <c r="K47" s="6"/>
      <c r="L47" s="6"/>
      <c r="M47" s="6"/>
      <c r="N47" s="6"/>
      <c r="O47" s="7"/>
    </row>
    <row r="48" spans="1:15" x14ac:dyDescent="0.3">
      <c r="A48" s="8" t="s">
        <v>259</v>
      </c>
      <c r="B48" s="1" t="s">
        <v>260</v>
      </c>
      <c r="O48" s="9"/>
    </row>
    <row r="49" spans="1:15" ht="15.45" customHeight="1" x14ac:dyDescent="0.3">
      <c r="A49" s="10" t="s">
        <v>251</v>
      </c>
      <c r="B49" s="40" t="s">
        <v>285</v>
      </c>
      <c r="C49" s="40"/>
      <c r="D49" s="40"/>
      <c r="E49" s="40"/>
      <c r="F49" s="40"/>
      <c r="G49" s="40"/>
      <c r="H49" s="40"/>
      <c r="I49" s="40"/>
      <c r="J49" s="40"/>
      <c r="K49" s="40"/>
      <c r="L49" s="40"/>
      <c r="M49" s="40"/>
      <c r="N49" s="40"/>
      <c r="O49" s="40"/>
    </row>
    <row r="50" spans="1:15" x14ac:dyDescent="0.3">
      <c r="A50" s="15"/>
      <c r="O50" s="9"/>
    </row>
    <row r="51" spans="1:15" ht="16.2" thickBot="1" x14ac:dyDescent="0.35">
      <c r="A51" s="12" t="s">
        <v>252</v>
      </c>
      <c r="B51" s="2"/>
      <c r="C51" s="13" t="s">
        <v>253</v>
      </c>
      <c r="D51" s="13"/>
      <c r="E51" s="2"/>
      <c r="F51" s="2"/>
      <c r="G51" s="2"/>
      <c r="H51" s="2"/>
      <c r="I51" s="2"/>
      <c r="J51" s="2"/>
      <c r="K51" s="2"/>
      <c r="L51" s="2"/>
      <c r="M51" s="2"/>
      <c r="N51" s="2"/>
      <c r="O51" s="14"/>
    </row>
    <row r="52" spans="1:15" x14ac:dyDescent="0.3">
      <c r="A52" s="35" t="s">
        <v>286</v>
      </c>
      <c r="M52" s="9"/>
    </row>
    <row r="53" spans="1:15" x14ac:dyDescent="0.3">
      <c r="A53" s="1" t="s">
        <v>259</v>
      </c>
      <c r="B53" s="1" t="s">
        <v>260</v>
      </c>
      <c r="M53" s="9"/>
    </row>
    <row r="54" spans="1:15" x14ac:dyDescent="0.3">
      <c r="A54" s="4" t="s">
        <v>252</v>
      </c>
      <c r="C54" s="5" t="s">
        <v>253</v>
      </c>
      <c r="M54" s="9"/>
    </row>
    <row r="55" spans="1:15" x14ac:dyDescent="0.3">
      <c r="A55" s="4" t="s">
        <v>255</v>
      </c>
      <c r="C55" s="5" t="s">
        <v>287</v>
      </c>
      <c r="M55" s="9"/>
    </row>
    <row r="56" spans="1:15" x14ac:dyDescent="0.3">
      <c r="A56" s="11"/>
      <c r="C56" s="5"/>
      <c r="M56" s="9"/>
    </row>
    <row r="57" spans="1:15" ht="16.2" thickBot="1" x14ac:dyDescent="0.35">
      <c r="A57" s="11"/>
      <c r="C57" s="5"/>
      <c r="M57" s="9"/>
    </row>
    <row r="58" spans="1:15" x14ac:dyDescent="0.3">
      <c r="A58" s="22" t="s">
        <v>288</v>
      </c>
      <c r="B58" s="6"/>
      <c r="C58" s="6"/>
      <c r="D58" s="6"/>
      <c r="E58" s="6"/>
      <c r="F58" s="6"/>
      <c r="G58" s="6"/>
      <c r="H58" s="6"/>
      <c r="I58" s="6"/>
      <c r="J58" s="6"/>
      <c r="K58" s="6"/>
      <c r="L58" s="6"/>
      <c r="M58" s="6"/>
      <c r="N58" s="6"/>
      <c r="O58" s="7"/>
    </row>
    <row r="59" spans="1:15" x14ac:dyDescent="0.3">
      <c r="A59" s="8" t="s">
        <v>259</v>
      </c>
      <c r="B59" s="1" t="s">
        <v>260</v>
      </c>
      <c r="O59" s="9"/>
    </row>
    <row r="60" spans="1:15" x14ac:dyDescent="0.3">
      <c r="A60" s="10" t="s">
        <v>251</v>
      </c>
      <c r="B60" s="40" t="s">
        <v>289</v>
      </c>
      <c r="C60" s="40"/>
      <c r="D60" s="40"/>
      <c r="E60" s="40"/>
      <c r="F60" s="40"/>
      <c r="G60" s="40"/>
      <c r="H60" s="40"/>
      <c r="I60" s="40"/>
      <c r="J60" s="40"/>
      <c r="K60" s="40"/>
      <c r="L60" s="40"/>
      <c r="M60" s="40"/>
      <c r="N60" s="40"/>
      <c r="O60" s="40"/>
    </row>
    <row r="61" spans="1:15" x14ac:dyDescent="0.3">
      <c r="A61" s="11" t="s">
        <v>252</v>
      </c>
      <c r="C61" s="5" t="s">
        <v>253</v>
      </c>
      <c r="O61" s="9"/>
    </row>
    <row r="62" spans="1:15" ht="16.2" thickBot="1" x14ac:dyDescent="0.35">
      <c r="A62" s="11" t="s">
        <v>255</v>
      </c>
      <c r="C62" s="5" t="s">
        <v>290</v>
      </c>
      <c r="O62" s="9"/>
    </row>
    <row r="63" spans="1:15" x14ac:dyDescent="0.3">
      <c r="A63" s="22" t="s">
        <v>291</v>
      </c>
      <c r="B63" s="6"/>
      <c r="C63" s="6"/>
      <c r="D63" s="6"/>
      <c r="E63" s="6"/>
      <c r="F63" s="6"/>
      <c r="G63" s="6"/>
      <c r="H63" s="6"/>
      <c r="I63" s="6"/>
      <c r="J63" s="6"/>
      <c r="K63" s="6"/>
      <c r="L63" s="6"/>
      <c r="M63" s="6"/>
      <c r="N63" s="6"/>
      <c r="O63" s="7"/>
    </row>
    <row r="64" spans="1:15" x14ac:dyDescent="0.3">
      <c r="A64" s="8" t="s">
        <v>259</v>
      </c>
      <c r="B64" s="1" t="s">
        <v>260</v>
      </c>
      <c r="O64" s="9"/>
    </row>
    <row r="65" spans="1:15" x14ac:dyDescent="0.3">
      <c r="A65" s="10" t="s">
        <v>251</v>
      </c>
      <c r="B65" s="40" t="s">
        <v>292</v>
      </c>
      <c r="C65" s="40"/>
      <c r="D65" s="40"/>
      <c r="E65" s="40"/>
      <c r="F65" s="40"/>
      <c r="G65" s="40"/>
      <c r="H65" s="40"/>
      <c r="I65" s="40"/>
      <c r="J65" s="40"/>
      <c r="K65" s="40"/>
      <c r="L65" s="40"/>
      <c r="M65" s="40"/>
      <c r="N65" s="40"/>
      <c r="O65" s="40"/>
    </row>
    <row r="66" spans="1:15" x14ac:dyDescent="0.3">
      <c r="A66" s="11" t="s">
        <v>252</v>
      </c>
      <c r="C66" s="5" t="s">
        <v>253</v>
      </c>
      <c r="O66" s="9"/>
    </row>
    <row r="67" spans="1:15" ht="16.2" thickBot="1" x14ac:dyDescent="0.35">
      <c r="A67" s="11" t="s">
        <v>255</v>
      </c>
      <c r="C67" s="5" t="s">
        <v>290</v>
      </c>
      <c r="O67" s="9"/>
    </row>
    <row r="68" spans="1:15" x14ac:dyDescent="0.3">
      <c r="A68" s="22" t="s">
        <v>293</v>
      </c>
      <c r="B68" s="6"/>
      <c r="C68" s="6"/>
      <c r="D68" s="6"/>
      <c r="E68" s="6"/>
      <c r="F68" s="6"/>
      <c r="G68" s="6"/>
      <c r="H68" s="6"/>
      <c r="I68" s="6"/>
      <c r="J68" s="6"/>
      <c r="K68" s="6"/>
      <c r="L68" s="6"/>
      <c r="M68" s="6"/>
      <c r="N68" s="6"/>
      <c r="O68" s="7"/>
    </row>
    <row r="69" spans="1:15" x14ac:dyDescent="0.3">
      <c r="A69" s="8" t="s">
        <v>259</v>
      </c>
      <c r="B69" s="1" t="s">
        <v>260</v>
      </c>
      <c r="O69" s="9"/>
    </row>
    <row r="70" spans="1:15" x14ac:dyDescent="0.3">
      <c r="A70" s="10" t="s">
        <v>251</v>
      </c>
      <c r="B70" s="40" t="s">
        <v>294</v>
      </c>
      <c r="C70" s="41"/>
      <c r="D70" s="41"/>
      <c r="E70" s="41"/>
      <c r="F70" s="41"/>
      <c r="G70" s="41"/>
      <c r="H70" s="41"/>
      <c r="I70" s="41"/>
      <c r="J70" s="41"/>
      <c r="K70" s="41"/>
      <c r="L70" s="41"/>
      <c r="M70" s="41"/>
      <c r="N70" s="41"/>
      <c r="O70" s="42"/>
    </row>
    <row r="71" spans="1:15" x14ac:dyDescent="0.3">
      <c r="A71" s="11" t="s">
        <v>252</v>
      </c>
      <c r="C71" s="5" t="s">
        <v>253</v>
      </c>
      <c r="O71" s="9"/>
    </row>
    <row r="72" spans="1:15" x14ac:dyDescent="0.3">
      <c r="A72" s="11" t="s">
        <v>295</v>
      </c>
      <c r="C72" s="5" t="s">
        <v>276</v>
      </c>
      <c r="D72" s="5"/>
      <c r="O72" s="9"/>
    </row>
    <row r="73" spans="1:15" x14ac:dyDescent="0.3">
      <c r="A73" s="11" t="s">
        <v>296</v>
      </c>
      <c r="C73" s="5" t="s">
        <v>297</v>
      </c>
      <c r="D73" s="5"/>
      <c r="O73" s="9"/>
    </row>
    <row r="74" spans="1:15" ht="16.2" thickBot="1" x14ac:dyDescent="0.35">
      <c r="A74" s="11" t="s">
        <v>255</v>
      </c>
      <c r="C74" s="5" t="s">
        <v>287</v>
      </c>
      <c r="O74" s="9"/>
    </row>
    <row r="75" spans="1:15" x14ac:dyDescent="0.3">
      <c r="A75" s="22" t="s">
        <v>298</v>
      </c>
      <c r="B75" s="6"/>
      <c r="C75" s="6"/>
      <c r="D75" s="6"/>
      <c r="E75" s="6"/>
      <c r="F75" s="6"/>
      <c r="G75" s="6"/>
      <c r="H75" s="6"/>
      <c r="I75" s="6"/>
      <c r="J75" s="6"/>
      <c r="K75" s="6"/>
      <c r="L75" s="6"/>
      <c r="M75" s="6"/>
      <c r="N75" s="6"/>
      <c r="O75" s="7"/>
    </row>
    <row r="76" spans="1:15" x14ac:dyDescent="0.3">
      <c r="A76" s="8" t="s">
        <v>259</v>
      </c>
      <c r="B76" s="1" t="s">
        <v>260</v>
      </c>
      <c r="O76" s="9"/>
    </row>
    <row r="77" spans="1:15" x14ac:dyDescent="0.3">
      <c r="A77" s="11" t="s">
        <v>252</v>
      </c>
      <c r="C77" s="5" t="s">
        <v>253</v>
      </c>
      <c r="O77" s="9"/>
    </row>
    <row r="78" spans="1:15" x14ac:dyDescent="0.3">
      <c r="A78" s="11" t="s">
        <v>299</v>
      </c>
      <c r="C78" s="5" t="s">
        <v>300</v>
      </c>
      <c r="O78" s="9"/>
    </row>
    <row r="79" spans="1:15" x14ac:dyDescent="0.3">
      <c r="A79" s="11" t="s">
        <v>301</v>
      </c>
      <c r="C79" s="5" t="s">
        <v>302</v>
      </c>
      <c r="O79" s="9"/>
    </row>
    <row r="80" spans="1:15" ht="16.2" thickBot="1" x14ac:dyDescent="0.35">
      <c r="A80" s="11" t="s">
        <v>255</v>
      </c>
      <c r="C80" s="5" t="s">
        <v>303</v>
      </c>
      <c r="O80" s="9"/>
    </row>
    <row r="81" spans="1:15" x14ac:dyDescent="0.3">
      <c r="A81" s="22" t="s">
        <v>304</v>
      </c>
      <c r="B81" s="6"/>
      <c r="C81" s="6"/>
      <c r="D81" s="6"/>
      <c r="E81" s="6"/>
      <c r="F81" s="6"/>
      <c r="G81" s="6"/>
      <c r="H81" s="6"/>
      <c r="I81" s="6"/>
      <c r="J81" s="6"/>
      <c r="K81" s="6"/>
      <c r="L81" s="6"/>
      <c r="M81" s="6"/>
      <c r="N81" s="6"/>
      <c r="O81" s="7"/>
    </row>
    <row r="82" spans="1:15" x14ac:dyDescent="0.3">
      <c r="A82" s="8" t="s">
        <v>259</v>
      </c>
      <c r="B82" s="1" t="s">
        <v>260</v>
      </c>
      <c r="O82" s="9"/>
    </row>
    <row r="83" spans="1:15" x14ac:dyDescent="0.3">
      <c r="A83" s="10" t="s">
        <v>251</v>
      </c>
      <c r="B83" s="40" t="s">
        <v>305</v>
      </c>
      <c r="C83" s="41"/>
      <c r="D83" s="41"/>
      <c r="E83" s="41"/>
      <c r="F83" s="41"/>
      <c r="G83" s="41"/>
      <c r="H83" s="41"/>
      <c r="I83" s="41"/>
      <c r="J83" s="41"/>
      <c r="K83" s="41"/>
      <c r="L83" s="41"/>
      <c r="M83" s="41"/>
      <c r="N83" s="41"/>
      <c r="O83" s="42"/>
    </row>
    <row r="84" spans="1:15" x14ac:dyDescent="0.3">
      <c r="A84" s="11" t="s">
        <v>252</v>
      </c>
      <c r="C84" s="5" t="s">
        <v>253</v>
      </c>
      <c r="O84" s="9"/>
    </row>
    <row r="85" spans="1:15" x14ac:dyDescent="0.3">
      <c r="A85" s="11" t="s">
        <v>306</v>
      </c>
      <c r="C85" s="5" t="s">
        <v>307</v>
      </c>
      <c r="O85" s="9"/>
    </row>
    <row r="86" spans="1:15" x14ac:dyDescent="0.3">
      <c r="A86" s="11" t="s">
        <v>255</v>
      </c>
      <c r="C86" s="5" t="s">
        <v>308</v>
      </c>
      <c r="O86" s="9"/>
    </row>
    <row r="87" spans="1:15" ht="16.2" thickBot="1" x14ac:dyDescent="0.35">
      <c r="A87" s="11" t="s">
        <v>309</v>
      </c>
      <c r="C87" s="5" t="s">
        <v>276</v>
      </c>
      <c r="O87" s="9"/>
    </row>
    <row r="88" spans="1:15" x14ac:dyDescent="0.3">
      <c r="A88" s="22" t="s">
        <v>310</v>
      </c>
      <c r="B88" s="6"/>
      <c r="C88" s="6"/>
      <c r="D88" s="6"/>
      <c r="E88" s="6"/>
      <c r="F88" s="6"/>
      <c r="G88" s="6"/>
      <c r="H88" s="6"/>
      <c r="I88" s="6"/>
      <c r="J88" s="6"/>
      <c r="K88" s="6"/>
      <c r="L88" s="6"/>
      <c r="M88" s="6"/>
      <c r="N88" s="6"/>
      <c r="O88" s="7"/>
    </row>
    <row r="89" spans="1:15" x14ac:dyDescent="0.3">
      <c r="A89" s="8" t="s">
        <v>259</v>
      </c>
      <c r="B89" s="1" t="s">
        <v>260</v>
      </c>
      <c r="O89" s="9"/>
    </row>
    <row r="90" spans="1:15" x14ac:dyDescent="0.3">
      <c r="A90" s="10" t="s">
        <v>251</v>
      </c>
      <c r="B90" s="40" t="s">
        <v>311</v>
      </c>
      <c r="C90" s="41"/>
      <c r="D90" s="41"/>
      <c r="E90" s="41"/>
      <c r="F90" s="41"/>
      <c r="G90" s="41"/>
      <c r="H90" s="41"/>
      <c r="I90" s="41"/>
      <c r="J90" s="41"/>
      <c r="K90" s="41"/>
      <c r="L90" s="41"/>
      <c r="M90" s="41"/>
      <c r="N90" s="41"/>
      <c r="O90" s="42"/>
    </row>
    <row r="91" spans="1:15" x14ac:dyDescent="0.3">
      <c r="A91" s="11" t="s">
        <v>252</v>
      </c>
      <c r="C91" s="5" t="s">
        <v>253</v>
      </c>
      <c r="O91" s="9"/>
    </row>
    <row r="92" spans="1:15" x14ac:dyDescent="0.3">
      <c r="A92" s="11" t="s">
        <v>255</v>
      </c>
      <c r="C92" s="5" t="s">
        <v>287</v>
      </c>
      <c r="O92" s="9"/>
    </row>
    <row r="93" spans="1:15" x14ac:dyDescent="0.3">
      <c r="A93" s="11" t="s">
        <v>312</v>
      </c>
      <c r="C93" s="5" t="s">
        <v>313</v>
      </c>
      <c r="O93" s="9"/>
    </row>
    <row r="94" spans="1:15" x14ac:dyDescent="0.3">
      <c r="A94" s="11" t="s">
        <v>306</v>
      </c>
      <c r="C94" s="5" t="s">
        <v>314</v>
      </c>
      <c r="O94" s="9"/>
    </row>
    <row r="95" spans="1:15" ht="16.2" thickBot="1" x14ac:dyDescent="0.35">
      <c r="A95" s="11" t="s">
        <v>309</v>
      </c>
      <c r="C95" s="5" t="s">
        <v>276</v>
      </c>
      <c r="O95" s="9"/>
    </row>
    <row r="96" spans="1:15" x14ac:dyDescent="0.3">
      <c r="A96" s="22" t="s">
        <v>315</v>
      </c>
      <c r="B96" s="6"/>
      <c r="C96" s="6"/>
      <c r="D96" s="6"/>
      <c r="E96" s="6"/>
      <c r="F96" s="6"/>
      <c r="G96" s="6"/>
      <c r="H96" s="6"/>
      <c r="I96" s="6"/>
      <c r="J96" s="6"/>
      <c r="K96" s="6"/>
      <c r="L96" s="6"/>
      <c r="M96" s="6"/>
      <c r="N96" s="6"/>
      <c r="O96" s="7"/>
    </row>
    <row r="97" spans="1:15" x14ac:dyDescent="0.3">
      <c r="A97" s="8" t="s">
        <v>259</v>
      </c>
      <c r="B97" s="1" t="s">
        <v>260</v>
      </c>
      <c r="O97" s="9"/>
    </row>
    <row r="98" spans="1:15" x14ac:dyDescent="0.3">
      <c r="A98" s="10" t="s">
        <v>251</v>
      </c>
      <c r="B98" s="40" t="s">
        <v>316</v>
      </c>
      <c r="C98" s="41"/>
      <c r="D98" s="41"/>
      <c r="E98" s="41"/>
      <c r="F98" s="41"/>
      <c r="G98" s="41"/>
      <c r="H98" s="41"/>
      <c r="I98" s="41"/>
      <c r="J98" s="41"/>
      <c r="K98" s="41"/>
      <c r="L98" s="41"/>
      <c r="M98" s="41"/>
      <c r="N98" s="41"/>
      <c r="O98" s="42"/>
    </row>
    <row r="99" spans="1:15" x14ac:dyDescent="0.3">
      <c r="A99" s="11" t="s">
        <v>252</v>
      </c>
      <c r="C99" s="5" t="s">
        <v>253</v>
      </c>
      <c r="O99" s="9"/>
    </row>
    <row r="100" spans="1:15" ht="16.2" thickBot="1" x14ac:dyDescent="0.35">
      <c r="A100" s="11" t="s">
        <v>317</v>
      </c>
      <c r="C100" s="5" t="s">
        <v>318</v>
      </c>
      <c r="D100" s="5"/>
      <c r="O100" s="9"/>
    </row>
    <row r="101" spans="1:15" x14ac:dyDescent="0.3">
      <c r="A101" s="22" t="s">
        <v>319</v>
      </c>
      <c r="B101" s="6"/>
      <c r="C101" s="6"/>
      <c r="D101" s="6"/>
      <c r="E101" s="6"/>
      <c r="F101" s="6"/>
      <c r="G101" s="6"/>
      <c r="H101" s="6"/>
      <c r="I101" s="6"/>
      <c r="J101" s="6"/>
      <c r="K101" s="6"/>
      <c r="L101" s="6"/>
      <c r="M101" s="6"/>
      <c r="N101" s="6"/>
      <c r="O101" s="7"/>
    </row>
    <row r="102" spans="1:15" x14ac:dyDescent="0.3">
      <c r="A102" s="8" t="s">
        <v>259</v>
      </c>
      <c r="B102" s="1" t="s">
        <v>260</v>
      </c>
      <c r="O102" s="9"/>
    </row>
    <row r="103" spans="1:15" x14ac:dyDescent="0.3">
      <c r="A103" s="10" t="s">
        <v>251</v>
      </c>
      <c r="B103" s="40" t="s">
        <v>320</v>
      </c>
      <c r="C103" s="41"/>
      <c r="D103" s="41"/>
      <c r="E103" s="41"/>
      <c r="F103" s="41"/>
      <c r="G103" s="41"/>
      <c r="H103" s="41"/>
      <c r="I103" s="41"/>
      <c r="J103" s="41"/>
      <c r="K103" s="41"/>
      <c r="L103" s="41"/>
      <c r="M103" s="41"/>
      <c r="N103" s="41"/>
      <c r="O103" s="42"/>
    </row>
    <row r="104" spans="1:15" x14ac:dyDescent="0.3">
      <c r="A104" s="11" t="s">
        <v>252</v>
      </c>
      <c r="C104" s="5" t="s">
        <v>253</v>
      </c>
      <c r="O104" s="9"/>
    </row>
    <row r="105" spans="1:15" ht="16.2" thickBot="1" x14ac:dyDescent="0.35">
      <c r="A105" s="11" t="s">
        <v>317</v>
      </c>
      <c r="C105" s="5" t="s">
        <v>321</v>
      </c>
      <c r="O105" s="9"/>
    </row>
    <row r="106" spans="1:15" x14ac:dyDescent="0.3">
      <c r="A106" s="22" t="s">
        <v>322</v>
      </c>
      <c r="B106" s="6"/>
      <c r="C106" s="6"/>
      <c r="D106" s="6"/>
      <c r="E106" s="6"/>
      <c r="F106" s="6"/>
      <c r="G106" s="6"/>
      <c r="H106" s="6"/>
      <c r="I106" s="6"/>
      <c r="J106" s="6"/>
      <c r="K106" s="6"/>
      <c r="L106" s="6"/>
      <c r="M106" s="6"/>
      <c r="N106" s="6"/>
      <c r="O106" s="7"/>
    </row>
    <row r="107" spans="1:15" x14ac:dyDescent="0.3">
      <c r="A107" s="8" t="s">
        <v>259</v>
      </c>
      <c r="B107" s="1" t="s">
        <v>260</v>
      </c>
      <c r="O107" s="9"/>
    </row>
    <row r="108" spans="1:15" x14ac:dyDescent="0.3">
      <c r="A108" s="10" t="s">
        <v>251</v>
      </c>
      <c r="B108" s="40" t="s">
        <v>323</v>
      </c>
      <c r="C108" s="41"/>
      <c r="D108" s="41"/>
      <c r="E108" s="41"/>
      <c r="F108" s="41"/>
      <c r="G108" s="41"/>
      <c r="H108" s="41"/>
      <c r="I108" s="41"/>
      <c r="J108" s="41"/>
      <c r="K108" s="41"/>
      <c r="L108" s="41"/>
      <c r="M108" s="41"/>
      <c r="N108" s="41"/>
      <c r="O108" s="42"/>
    </row>
    <row r="109" spans="1:15" x14ac:dyDescent="0.3">
      <c r="A109" s="11" t="s">
        <v>252</v>
      </c>
      <c r="C109" s="5" t="s">
        <v>253</v>
      </c>
      <c r="O109" s="9"/>
    </row>
    <row r="110" spans="1:15" x14ac:dyDescent="0.3">
      <c r="A110" s="11" t="s">
        <v>255</v>
      </c>
      <c r="C110" s="5" t="s">
        <v>324</v>
      </c>
      <c r="D110" s="5"/>
      <c r="O110" s="9"/>
    </row>
    <row r="111" spans="1:15" x14ac:dyDescent="0.3">
      <c r="A111" s="11" t="s">
        <v>309</v>
      </c>
      <c r="C111" s="5" t="s">
        <v>276</v>
      </c>
      <c r="D111" s="5"/>
      <c r="O111" s="9"/>
    </row>
    <row r="112" spans="1:15" ht="16.2" thickBot="1" x14ac:dyDescent="0.35">
      <c r="A112" s="11" t="s">
        <v>306</v>
      </c>
      <c r="C112" s="5" t="s">
        <v>325</v>
      </c>
      <c r="O112" s="9"/>
    </row>
    <row r="113" spans="1:15" x14ac:dyDescent="0.3">
      <c r="A113" s="22" t="s">
        <v>326</v>
      </c>
      <c r="B113" s="6"/>
      <c r="C113" s="6"/>
      <c r="D113" s="6"/>
      <c r="E113" s="6"/>
      <c r="F113" s="6"/>
      <c r="G113" s="6"/>
      <c r="H113" s="6"/>
      <c r="I113" s="6"/>
      <c r="J113" s="6"/>
      <c r="K113" s="6"/>
      <c r="L113" s="6"/>
      <c r="M113" s="6"/>
      <c r="N113" s="6"/>
      <c r="O113" s="7"/>
    </row>
    <row r="114" spans="1:15" x14ac:dyDescent="0.3">
      <c r="A114" s="8" t="s">
        <v>259</v>
      </c>
      <c r="B114" s="1" t="s">
        <v>260</v>
      </c>
      <c r="O114" s="9"/>
    </row>
    <row r="115" spans="1:15" x14ac:dyDescent="0.3">
      <c r="A115" s="10" t="s">
        <v>251</v>
      </c>
      <c r="B115" s="40" t="s">
        <v>327</v>
      </c>
      <c r="C115" s="41"/>
      <c r="D115" s="41"/>
      <c r="E115" s="41"/>
      <c r="F115" s="41"/>
      <c r="G115" s="41"/>
      <c r="H115" s="41"/>
      <c r="I115" s="41"/>
      <c r="J115" s="41"/>
      <c r="K115" s="41"/>
      <c r="L115" s="41"/>
      <c r="M115" s="41"/>
      <c r="N115" s="41"/>
      <c r="O115" s="42"/>
    </row>
    <row r="116" spans="1:15" x14ac:dyDescent="0.3">
      <c r="A116" s="11" t="s">
        <v>252</v>
      </c>
      <c r="C116" s="5" t="s">
        <v>253</v>
      </c>
      <c r="O116" s="9"/>
    </row>
    <row r="117" spans="1:15" ht="16.2" thickBot="1" x14ac:dyDescent="0.35">
      <c r="A117" s="11" t="s">
        <v>317</v>
      </c>
      <c r="C117" s="5" t="s">
        <v>328</v>
      </c>
      <c r="D117" s="5"/>
      <c r="O117" s="9"/>
    </row>
    <row r="118" spans="1:15" x14ac:dyDescent="0.3">
      <c r="A118" s="22" t="s">
        <v>329</v>
      </c>
      <c r="B118" s="6"/>
      <c r="C118" s="6"/>
      <c r="D118" s="6"/>
      <c r="E118" s="6"/>
      <c r="F118" s="6"/>
      <c r="G118" s="6"/>
      <c r="H118" s="6"/>
      <c r="I118" s="6"/>
      <c r="J118" s="6"/>
      <c r="K118" s="6"/>
      <c r="L118" s="6"/>
      <c r="M118" s="6"/>
      <c r="N118" s="6"/>
      <c r="O118" s="7"/>
    </row>
    <row r="119" spans="1:15" x14ac:dyDescent="0.3">
      <c r="A119" s="8" t="s">
        <v>259</v>
      </c>
      <c r="B119" s="1" t="s">
        <v>260</v>
      </c>
      <c r="O119" s="9"/>
    </row>
    <row r="120" spans="1:15" x14ac:dyDescent="0.3">
      <c r="A120" s="10" t="s">
        <v>251</v>
      </c>
      <c r="B120" s="40" t="s">
        <v>330</v>
      </c>
      <c r="C120" s="41"/>
      <c r="D120" s="41"/>
      <c r="E120" s="41"/>
      <c r="F120" s="41"/>
      <c r="G120" s="41"/>
      <c r="H120" s="41"/>
      <c r="I120" s="41"/>
      <c r="J120" s="41"/>
      <c r="K120" s="41"/>
      <c r="L120" s="41"/>
      <c r="M120" s="41"/>
      <c r="N120" s="41"/>
      <c r="O120" s="42"/>
    </row>
    <row r="121" spans="1:15" x14ac:dyDescent="0.3">
      <c r="A121" s="11" t="s">
        <v>252</v>
      </c>
      <c r="C121" s="5" t="s">
        <v>253</v>
      </c>
      <c r="O121" s="9"/>
    </row>
    <row r="122" spans="1:15" x14ac:dyDescent="0.3">
      <c r="A122" s="11" t="s">
        <v>331</v>
      </c>
      <c r="C122" s="5" t="s">
        <v>332</v>
      </c>
      <c r="D122" s="5"/>
      <c r="O122" s="9"/>
    </row>
    <row r="123" spans="1:15" x14ac:dyDescent="0.3">
      <c r="A123" s="11" t="s">
        <v>306</v>
      </c>
      <c r="C123" s="5" t="s">
        <v>276</v>
      </c>
      <c r="D123" s="5"/>
      <c r="O123" s="9"/>
    </row>
    <row r="124" spans="1:15" x14ac:dyDescent="0.3">
      <c r="A124" s="11" t="s">
        <v>255</v>
      </c>
      <c r="C124" s="5" t="s">
        <v>333</v>
      </c>
      <c r="O124" s="9"/>
    </row>
    <row r="125" spans="1:15" ht="16.2" thickBot="1" x14ac:dyDescent="0.35">
      <c r="A125" s="11" t="s">
        <v>309</v>
      </c>
      <c r="C125" s="5" t="s">
        <v>276</v>
      </c>
      <c r="O125" s="9"/>
    </row>
    <row r="126" spans="1:15" x14ac:dyDescent="0.3">
      <c r="A126" s="22" t="s">
        <v>334</v>
      </c>
      <c r="B126" s="6"/>
      <c r="C126" s="6"/>
      <c r="D126" s="6"/>
      <c r="E126" s="6"/>
      <c r="F126" s="6"/>
      <c r="G126" s="6"/>
      <c r="H126" s="6"/>
      <c r="I126" s="6"/>
      <c r="J126" s="6"/>
      <c r="K126" s="6"/>
      <c r="L126" s="6"/>
      <c r="M126" s="6"/>
      <c r="N126" s="6"/>
      <c r="O126" s="7"/>
    </row>
    <row r="127" spans="1:15" x14ac:dyDescent="0.3">
      <c r="A127" s="8" t="s">
        <v>259</v>
      </c>
      <c r="B127" s="1" t="s">
        <v>260</v>
      </c>
      <c r="O127" s="9"/>
    </row>
    <row r="128" spans="1:15" x14ac:dyDescent="0.3">
      <c r="A128" s="10" t="s">
        <v>251</v>
      </c>
      <c r="B128" s="40" t="s">
        <v>335</v>
      </c>
      <c r="C128" s="41"/>
      <c r="D128" s="41"/>
      <c r="E128" s="41"/>
      <c r="F128" s="41"/>
      <c r="G128" s="41"/>
      <c r="H128" s="41"/>
      <c r="I128" s="41"/>
      <c r="J128" s="41"/>
      <c r="K128" s="41"/>
      <c r="L128" s="41"/>
      <c r="M128" s="41"/>
      <c r="N128" s="41"/>
      <c r="O128" s="42"/>
    </row>
    <row r="129" spans="1:15" x14ac:dyDescent="0.3">
      <c r="A129" s="11" t="s">
        <v>252</v>
      </c>
      <c r="C129" s="5" t="s">
        <v>253</v>
      </c>
      <c r="O129" s="9"/>
    </row>
    <row r="130" spans="1:15" ht="16.2" thickBot="1" x14ac:dyDescent="0.35">
      <c r="A130" s="11" t="s">
        <v>317</v>
      </c>
      <c r="C130" s="5" t="s">
        <v>336</v>
      </c>
      <c r="D130" s="5"/>
      <c r="O130" s="9"/>
    </row>
    <row r="131" spans="1:15" x14ac:dyDescent="0.3">
      <c r="A131" s="22" t="s">
        <v>337</v>
      </c>
      <c r="B131" s="6"/>
      <c r="C131" s="6"/>
      <c r="D131" s="6"/>
      <c r="E131" s="6"/>
      <c r="F131" s="6"/>
      <c r="G131" s="6"/>
      <c r="H131" s="6"/>
      <c r="I131" s="6"/>
      <c r="J131" s="6"/>
      <c r="K131" s="6"/>
      <c r="L131" s="6"/>
      <c r="M131" s="6"/>
      <c r="N131" s="6"/>
      <c r="O131" s="7"/>
    </row>
    <row r="132" spans="1:15" x14ac:dyDescent="0.3">
      <c r="A132" s="8" t="s">
        <v>259</v>
      </c>
      <c r="B132" s="1" t="s">
        <v>260</v>
      </c>
      <c r="O132" s="9"/>
    </row>
    <row r="133" spans="1:15" x14ac:dyDescent="0.3">
      <c r="A133" s="10" t="s">
        <v>251</v>
      </c>
      <c r="B133" s="40" t="s">
        <v>338</v>
      </c>
      <c r="C133" s="41"/>
      <c r="D133" s="41"/>
      <c r="E133" s="41"/>
      <c r="F133" s="41"/>
      <c r="G133" s="41"/>
      <c r="H133" s="41"/>
      <c r="I133" s="41"/>
      <c r="J133" s="41"/>
      <c r="K133" s="41"/>
      <c r="L133" s="41"/>
      <c r="M133" s="41"/>
      <c r="N133" s="41"/>
      <c r="O133" s="42"/>
    </row>
    <row r="134" spans="1:15" x14ac:dyDescent="0.3">
      <c r="A134" s="11" t="s">
        <v>252</v>
      </c>
      <c r="C134" s="5" t="s">
        <v>253</v>
      </c>
      <c r="O134" s="9"/>
    </row>
    <row r="135" spans="1:15" ht="16.2" thickBot="1" x14ac:dyDescent="0.35">
      <c r="A135" s="11" t="s">
        <v>255</v>
      </c>
      <c r="C135" s="5" t="s">
        <v>339</v>
      </c>
      <c r="D135" s="5"/>
      <c r="O135" s="9"/>
    </row>
    <row r="136" spans="1:15" x14ac:dyDescent="0.3">
      <c r="A136" s="22" t="s">
        <v>340</v>
      </c>
      <c r="B136" s="6"/>
      <c r="C136" s="6"/>
      <c r="D136" s="6"/>
      <c r="E136" s="6"/>
      <c r="F136" s="6"/>
      <c r="G136" s="6"/>
      <c r="H136" s="6"/>
      <c r="I136" s="6"/>
      <c r="J136" s="6"/>
      <c r="K136" s="6"/>
      <c r="L136" s="6"/>
      <c r="M136" s="6"/>
      <c r="N136" s="6"/>
      <c r="O136" s="7"/>
    </row>
    <row r="137" spans="1:15" x14ac:dyDescent="0.3">
      <c r="A137" s="8" t="s">
        <v>259</v>
      </c>
      <c r="B137" s="1" t="s">
        <v>260</v>
      </c>
      <c r="O137" s="9"/>
    </row>
    <row r="138" spans="1:15" x14ac:dyDescent="0.3">
      <c r="A138" s="10" t="s">
        <v>251</v>
      </c>
      <c r="B138" s="40" t="s">
        <v>341</v>
      </c>
      <c r="C138" s="41"/>
      <c r="D138" s="41"/>
      <c r="E138" s="41"/>
      <c r="F138" s="41"/>
      <c r="G138" s="41"/>
      <c r="H138" s="41"/>
      <c r="I138" s="41"/>
      <c r="J138" s="41"/>
      <c r="K138" s="41"/>
      <c r="L138" s="41"/>
      <c r="M138" s="41"/>
      <c r="N138" s="41"/>
      <c r="O138" s="42"/>
    </row>
    <row r="139" spans="1:15" x14ac:dyDescent="0.3">
      <c r="A139" s="11" t="s">
        <v>252</v>
      </c>
      <c r="C139" s="5" t="s">
        <v>253</v>
      </c>
      <c r="O139" s="9"/>
    </row>
    <row r="140" spans="1:15" x14ac:dyDescent="0.3">
      <c r="A140" s="11" t="s">
        <v>255</v>
      </c>
      <c r="C140" s="5" t="s">
        <v>342</v>
      </c>
      <c r="D140" s="5"/>
      <c r="O140" s="9"/>
    </row>
    <row r="141" spans="1:15" x14ac:dyDescent="0.3">
      <c r="A141" s="11" t="s">
        <v>254</v>
      </c>
      <c r="C141" s="5" t="s">
        <v>343</v>
      </c>
      <c r="D141" s="5"/>
      <c r="O141" s="9"/>
    </row>
    <row r="142" spans="1:15" ht="16.2" thickBot="1" x14ac:dyDescent="0.35">
      <c r="A142" s="11" t="s">
        <v>344</v>
      </c>
      <c r="C142" s="5" t="s">
        <v>345</v>
      </c>
      <c r="O142" s="9"/>
    </row>
    <row r="143" spans="1:15" x14ac:dyDescent="0.3">
      <c r="A143" s="22" t="s">
        <v>346</v>
      </c>
      <c r="B143" s="6"/>
      <c r="C143" s="6"/>
      <c r="D143" s="6"/>
      <c r="E143" s="6"/>
      <c r="F143" s="6"/>
      <c r="G143" s="6"/>
      <c r="H143" s="6"/>
      <c r="I143" s="6"/>
      <c r="J143" s="6"/>
      <c r="K143" s="6"/>
      <c r="L143" s="6"/>
      <c r="M143" s="6"/>
      <c r="N143" s="6"/>
      <c r="O143" s="7"/>
    </row>
    <row r="144" spans="1:15" x14ac:dyDescent="0.3">
      <c r="A144" s="8" t="s">
        <v>259</v>
      </c>
      <c r="B144" s="1" t="s">
        <v>260</v>
      </c>
      <c r="O144" s="9"/>
    </row>
    <row r="145" spans="1:15" x14ac:dyDescent="0.3">
      <c r="A145" s="10" t="s">
        <v>251</v>
      </c>
      <c r="B145" s="40" t="s">
        <v>347</v>
      </c>
      <c r="C145" s="41"/>
      <c r="D145" s="41"/>
      <c r="E145" s="41"/>
      <c r="F145" s="41"/>
      <c r="G145" s="41"/>
      <c r="H145" s="41"/>
      <c r="I145" s="41"/>
      <c r="J145" s="41"/>
      <c r="K145" s="41"/>
      <c r="L145" s="41"/>
      <c r="M145" s="41"/>
      <c r="N145" s="41"/>
      <c r="O145" s="42"/>
    </row>
    <row r="146" spans="1:15" x14ac:dyDescent="0.3">
      <c r="A146" s="11" t="s">
        <v>252</v>
      </c>
      <c r="C146" s="5" t="s">
        <v>253</v>
      </c>
      <c r="O146" s="9"/>
    </row>
    <row r="147" spans="1:15" x14ac:dyDescent="0.3">
      <c r="A147" s="11" t="s">
        <v>255</v>
      </c>
      <c r="C147" s="5" t="s">
        <v>342</v>
      </c>
      <c r="O147" s="9"/>
    </row>
    <row r="148" spans="1:15" x14ac:dyDescent="0.3">
      <c r="A148" s="11" t="s">
        <v>254</v>
      </c>
      <c r="C148" s="5" t="s">
        <v>348</v>
      </c>
      <c r="O148" s="9"/>
    </row>
    <row r="149" spans="1:15" ht="16.2" thickBot="1" x14ac:dyDescent="0.35">
      <c r="A149" s="11" t="s">
        <v>344</v>
      </c>
      <c r="C149" s="5" t="s">
        <v>345</v>
      </c>
      <c r="O149" s="9"/>
    </row>
    <row r="150" spans="1:15" x14ac:dyDescent="0.3">
      <c r="A150" s="22" t="s">
        <v>349</v>
      </c>
      <c r="B150" s="6"/>
      <c r="C150" s="6"/>
      <c r="D150" s="6"/>
      <c r="E150" s="6"/>
      <c r="F150" s="6"/>
      <c r="G150" s="6"/>
      <c r="H150" s="6"/>
      <c r="I150" s="6"/>
      <c r="J150" s="6"/>
      <c r="K150" s="6"/>
      <c r="L150" s="6"/>
      <c r="M150" s="6"/>
      <c r="N150" s="6"/>
      <c r="O150" s="7"/>
    </row>
    <row r="151" spans="1:15" x14ac:dyDescent="0.3">
      <c r="A151" s="8" t="s">
        <v>259</v>
      </c>
      <c r="B151" s="1" t="s">
        <v>260</v>
      </c>
      <c r="O151" s="9"/>
    </row>
    <row r="152" spans="1:15" x14ac:dyDescent="0.3">
      <c r="A152" s="10" t="s">
        <v>251</v>
      </c>
      <c r="B152" s="40" t="s">
        <v>350</v>
      </c>
      <c r="C152" s="41"/>
      <c r="D152" s="41"/>
      <c r="E152" s="41"/>
      <c r="F152" s="41"/>
      <c r="G152" s="41"/>
      <c r="H152" s="41"/>
      <c r="I152" s="41"/>
      <c r="J152" s="41"/>
      <c r="K152" s="41"/>
      <c r="L152" s="41"/>
      <c r="M152" s="41"/>
      <c r="N152" s="41"/>
      <c r="O152" s="42"/>
    </row>
    <row r="153" spans="1:15" x14ac:dyDescent="0.3">
      <c r="A153" s="15"/>
      <c r="O153" s="9"/>
    </row>
    <row r="154" spans="1:15" x14ac:dyDescent="0.3">
      <c r="A154" s="11" t="s">
        <v>252</v>
      </c>
      <c r="C154" s="5" t="s">
        <v>253</v>
      </c>
      <c r="D154" s="5"/>
      <c r="O154" s="9"/>
    </row>
    <row r="155" spans="1:15" x14ac:dyDescent="0.3">
      <c r="A155" s="11" t="s">
        <v>255</v>
      </c>
      <c r="C155" s="5" t="s">
        <v>287</v>
      </c>
      <c r="D155" s="5"/>
      <c r="O155" s="9"/>
    </row>
    <row r="156" spans="1:15" ht="16.2" thickBot="1" x14ac:dyDescent="0.35">
      <c r="A156" s="11" t="s">
        <v>351</v>
      </c>
      <c r="C156" s="5" t="s">
        <v>352</v>
      </c>
      <c r="O156" s="9"/>
    </row>
    <row r="157" spans="1:15" x14ac:dyDescent="0.3">
      <c r="A157" s="22" t="s">
        <v>353</v>
      </c>
      <c r="B157" s="6"/>
      <c r="C157" s="6"/>
      <c r="D157" s="6"/>
      <c r="E157" s="6"/>
      <c r="F157" s="6"/>
      <c r="G157" s="6"/>
      <c r="H157" s="6"/>
      <c r="I157" s="6"/>
      <c r="J157" s="6"/>
      <c r="K157" s="6"/>
      <c r="L157" s="6"/>
      <c r="M157" s="6"/>
      <c r="N157" s="6"/>
      <c r="O157" s="7"/>
    </row>
    <row r="158" spans="1:15" x14ac:dyDescent="0.3">
      <c r="A158" s="8" t="s">
        <v>259</v>
      </c>
      <c r="B158" s="1" t="s">
        <v>260</v>
      </c>
      <c r="O158" s="9"/>
    </row>
    <row r="159" spans="1:15" x14ac:dyDescent="0.3">
      <c r="A159" s="10" t="s">
        <v>251</v>
      </c>
      <c r="B159" s="40" t="s">
        <v>354</v>
      </c>
      <c r="C159" s="41"/>
      <c r="D159" s="41"/>
      <c r="E159" s="41"/>
      <c r="F159" s="41"/>
      <c r="G159" s="41"/>
      <c r="H159" s="41"/>
      <c r="I159" s="41"/>
      <c r="J159" s="41"/>
      <c r="K159" s="41"/>
      <c r="L159" s="41"/>
      <c r="M159" s="41"/>
      <c r="N159" s="41"/>
      <c r="O159" s="42"/>
    </row>
    <row r="160" spans="1:15" x14ac:dyDescent="0.3">
      <c r="A160" s="11" t="s">
        <v>252</v>
      </c>
      <c r="C160" s="5" t="s">
        <v>253</v>
      </c>
      <c r="O160" s="9"/>
    </row>
    <row r="161" spans="1:15" x14ac:dyDescent="0.3">
      <c r="A161" s="11" t="s">
        <v>255</v>
      </c>
      <c r="C161" s="5" t="s">
        <v>355</v>
      </c>
      <c r="O161" s="9"/>
    </row>
    <row r="162" spans="1:15" ht="16.2" thickBot="1" x14ac:dyDescent="0.35">
      <c r="A162" s="11" t="s">
        <v>254</v>
      </c>
      <c r="C162" s="5" t="s">
        <v>264</v>
      </c>
      <c r="O162" s="9"/>
    </row>
    <row r="163" spans="1:15" x14ac:dyDescent="0.3">
      <c r="A163" s="22" t="s">
        <v>356</v>
      </c>
      <c r="B163" s="6"/>
      <c r="C163" s="6"/>
      <c r="D163" s="6"/>
      <c r="E163" s="6"/>
      <c r="F163" s="6"/>
      <c r="G163" s="6"/>
      <c r="H163" s="6"/>
      <c r="I163" s="6"/>
      <c r="J163" s="6"/>
      <c r="K163" s="6"/>
      <c r="L163" s="6"/>
      <c r="M163" s="6"/>
      <c r="N163" s="6"/>
      <c r="O163" s="7"/>
    </row>
    <row r="164" spans="1:15" x14ac:dyDescent="0.3">
      <c r="A164" s="8" t="s">
        <v>259</v>
      </c>
      <c r="B164" s="1" t="s">
        <v>260</v>
      </c>
      <c r="O164" s="9"/>
    </row>
    <row r="165" spans="1:15" x14ac:dyDescent="0.3">
      <c r="A165" s="10" t="s">
        <v>251</v>
      </c>
      <c r="B165" s="40" t="s">
        <v>357</v>
      </c>
      <c r="C165" s="41"/>
      <c r="D165" s="41"/>
      <c r="E165" s="41"/>
      <c r="F165" s="41"/>
      <c r="G165" s="41"/>
      <c r="H165" s="41"/>
      <c r="I165" s="41"/>
      <c r="J165" s="41"/>
      <c r="K165" s="41"/>
      <c r="L165" s="41"/>
      <c r="M165" s="41"/>
      <c r="N165" s="41"/>
      <c r="O165" s="42"/>
    </row>
    <row r="166" spans="1:15" x14ac:dyDescent="0.3">
      <c r="A166" s="11" t="s">
        <v>252</v>
      </c>
      <c r="C166" s="5" t="s">
        <v>253</v>
      </c>
      <c r="O166" s="9"/>
    </row>
    <row r="167" spans="1:15" x14ac:dyDescent="0.3">
      <c r="A167" s="11" t="s">
        <v>255</v>
      </c>
      <c r="C167" s="5" t="s">
        <v>269</v>
      </c>
      <c r="D167" s="5"/>
      <c r="O167" s="9"/>
    </row>
    <row r="168" spans="1:15" ht="16.2" thickBot="1" x14ac:dyDescent="0.35">
      <c r="A168" s="11" t="s">
        <v>254</v>
      </c>
      <c r="C168" s="5" t="s">
        <v>358</v>
      </c>
      <c r="D168" s="5"/>
      <c r="O168" s="9"/>
    </row>
    <row r="169" spans="1:15" x14ac:dyDescent="0.3">
      <c r="A169" s="22" t="s">
        <v>356</v>
      </c>
      <c r="B169" s="6"/>
      <c r="C169" s="6"/>
      <c r="D169" s="6"/>
      <c r="E169" s="6"/>
      <c r="F169" s="6"/>
      <c r="G169" s="6"/>
      <c r="H169" s="6"/>
      <c r="I169" s="6"/>
      <c r="J169" s="6"/>
      <c r="K169" s="6"/>
      <c r="L169" s="6"/>
      <c r="M169" s="6"/>
      <c r="N169" s="6"/>
      <c r="O169" s="7"/>
    </row>
    <row r="170" spans="1:15" x14ac:dyDescent="0.3">
      <c r="A170" s="8" t="s">
        <v>259</v>
      </c>
      <c r="B170" s="1" t="s">
        <v>260</v>
      </c>
      <c r="O170" s="9"/>
    </row>
    <row r="171" spans="1:15" x14ac:dyDescent="0.3">
      <c r="A171" s="10" t="s">
        <v>251</v>
      </c>
      <c r="B171" s="40" t="s">
        <v>357</v>
      </c>
      <c r="C171" s="41"/>
      <c r="D171" s="41"/>
      <c r="E171" s="41"/>
      <c r="F171" s="41"/>
      <c r="G171" s="41"/>
      <c r="H171" s="41"/>
      <c r="I171" s="41"/>
      <c r="J171" s="41"/>
      <c r="K171" s="41"/>
      <c r="L171" s="41"/>
      <c r="M171" s="41"/>
      <c r="N171" s="41"/>
      <c r="O171" s="42"/>
    </row>
    <row r="172" spans="1:15" x14ac:dyDescent="0.3">
      <c r="A172" s="11" t="s">
        <v>252</v>
      </c>
      <c r="C172" s="5" t="s">
        <v>253</v>
      </c>
      <c r="O172" s="9"/>
    </row>
    <row r="173" spans="1:15" x14ac:dyDescent="0.3">
      <c r="A173" s="11" t="s">
        <v>255</v>
      </c>
      <c r="C173" s="5" t="s">
        <v>269</v>
      </c>
      <c r="O173" s="9"/>
    </row>
    <row r="174" spans="1:15" ht="16.2" thickBot="1" x14ac:dyDescent="0.35">
      <c r="A174" s="11" t="s">
        <v>254</v>
      </c>
      <c r="C174" s="5" t="s">
        <v>359</v>
      </c>
      <c r="O174" s="9"/>
    </row>
    <row r="175" spans="1:15" x14ac:dyDescent="0.3">
      <c r="A175" s="22" t="s">
        <v>360</v>
      </c>
      <c r="B175" s="6"/>
      <c r="C175" s="6"/>
      <c r="D175" s="6"/>
      <c r="E175" s="6"/>
      <c r="F175" s="6"/>
      <c r="G175" s="6"/>
      <c r="H175" s="6"/>
      <c r="I175" s="6"/>
      <c r="J175" s="6"/>
      <c r="K175" s="6"/>
      <c r="L175" s="6"/>
      <c r="M175" s="6"/>
      <c r="N175" s="6"/>
      <c r="O175" s="7"/>
    </row>
    <row r="176" spans="1:15" x14ac:dyDescent="0.3">
      <c r="A176" s="8" t="s">
        <v>259</v>
      </c>
      <c r="B176" s="1" t="s">
        <v>260</v>
      </c>
      <c r="O176" s="9"/>
    </row>
    <row r="177" spans="1:15" x14ac:dyDescent="0.3">
      <c r="A177" s="10" t="s">
        <v>251</v>
      </c>
      <c r="B177" s="40" t="s">
        <v>361</v>
      </c>
      <c r="C177" s="41"/>
      <c r="D177" s="41"/>
      <c r="E177" s="41"/>
      <c r="F177" s="41"/>
      <c r="G177" s="41"/>
      <c r="H177" s="41"/>
      <c r="I177" s="41"/>
      <c r="J177" s="41"/>
      <c r="K177" s="41"/>
      <c r="L177" s="41"/>
      <c r="M177" s="41"/>
      <c r="N177" s="41"/>
      <c r="O177" s="42"/>
    </row>
    <row r="178" spans="1:15" x14ac:dyDescent="0.3">
      <c r="A178" s="11" t="s">
        <v>252</v>
      </c>
      <c r="C178" s="5" t="s">
        <v>253</v>
      </c>
      <c r="O178" s="9"/>
    </row>
    <row r="179" spans="1:15" x14ac:dyDescent="0.3">
      <c r="A179" s="11" t="s">
        <v>255</v>
      </c>
      <c r="C179" s="5" t="s">
        <v>362</v>
      </c>
      <c r="D179" s="5"/>
      <c r="O179" s="9"/>
    </row>
    <row r="180" spans="1:15" ht="16.2" thickBot="1" x14ac:dyDescent="0.35">
      <c r="A180" s="11" t="s">
        <v>363</v>
      </c>
      <c r="C180" s="5" t="s">
        <v>364</v>
      </c>
      <c r="D180" s="5"/>
      <c r="O180" s="9"/>
    </row>
    <row r="181" spans="1:15" x14ac:dyDescent="0.3">
      <c r="A181" s="22" t="s">
        <v>365</v>
      </c>
      <c r="B181" s="6"/>
      <c r="C181" s="6"/>
      <c r="D181" s="6"/>
      <c r="E181" s="6"/>
      <c r="F181" s="6"/>
      <c r="G181" s="6"/>
      <c r="H181" s="6"/>
      <c r="I181" s="6"/>
      <c r="J181" s="6"/>
      <c r="K181" s="6"/>
      <c r="L181" s="6"/>
      <c r="M181" s="6"/>
      <c r="N181" s="6"/>
      <c r="O181" s="7"/>
    </row>
    <row r="182" spans="1:15" x14ac:dyDescent="0.3">
      <c r="A182" s="8" t="s">
        <v>259</v>
      </c>
      <c r="B182" s="1" t="s">
        <v>260</v>
      </c>
      <c r="O182" s="9"/>
    </row>
    <row r="183" spans="1:15" x14ac:dyDescent="0.3">
      <c r="A183" s="10" t="s">
        <v>251</v>
      </c>
      <c r="B183" s="40" t="s">
        <v>366</v>
      </c>
      <c r="C183" s="41"/>
      <c r="D183" s="41"/>
      <c r="E183" s="41"/>
      <c r="F183" s="41"/>
      <c r="G183" s="41"/>
      <c r="H183" s="41"/>
      <c r="I183" s="41"/>
      <c r="J183" s="41"/>
      <c r="K183" s="41"/>
      <c r="L183" s="41"/>
      <c r="M183" s="41"/>
      <c r="N183" s="41"/>
      <c r="O183" s="42"/>
    </row>
    <row r="184" spans="1:15" x14ac:dyDescent="0.3">
      <c r="A184" s="15"/>
      <c r="O184" s="9"/>
    </row>
    <row r="185" spans="1:15" x14ac:dyDescent="0.3">
      <c r="A185" s="11" t="s">
        <v>252</v>
      </c>
      <c r="C185" s="5" t="s">
        <v>253</v>
      </c>
      <c r="D185" s="5"/>
      <c r="O185" s="9"/>
    </row>
    <row r="186" spans="1:15" x14ac:dyDescent="0.3">
      <c r="A186" s="11" t="s">
        <v>275</v>
      </c>
      <c r="C186" s="5" t="s">
        <v>276</v>
      </c>
      <c r="D186" s="5"/>
      <c r="O186" s="9"/>
    </row>
    <row r="187" spans="1:15" x14ac:dyDescent="0.3">
      <c r="A187" s="11" t="s">
        <v>367</v>
      </c>
      <c r="C187" s="5" t="s">
        <v>276</v>
      </c>
      <c r="O187" s="9"/>
    </row>
    <row r="188" spans="1:15" ht="16.2" thickBot="1" x14ac:dyDescent="0.35">
      <c r="A188" s="11" t="s">
        <v>255</v>
      </c>
      <c r="C188" s="5" t="s">
        <v>368</v>
      </c>
      <c r="O188" s="9"/>
    </row>
    <row r="189" spans="1:15" x14ac:dyDescent="0.3">
      <c r="A189" s="22" t="s">
        <v>369</v>
      </c>
      <c r="B189" s="6"/>
      <c r="C189" s="6"/>
      <c r="D189" s="6"/>
      <c r="E189" s="6"/>
      <c r="F189" s="6"/>
      <c r="G189" s="6"/>
      <c r="H189" s="6"/>
      <c r="I189" s="6"/>
      <c r="J189" s="6"/>
      <c r="K189" s="6"/>
      <c r="L189" s="6"/>
      <c r="M189" s="6"/>
      <c r="N189" s="6"/>
      <c r="O189" s="7"/>
    </row>
    <row r="190" spans="1:15" x14ac:dyDescent="0.3">
      <c r="A190" s="8" t="s">
        <v>259</v>
      </c>
      <c r="B190" s="1" t="s">
        <v>260</v>
      </c>
      <c r="O190" s="9"/>
    </row>
    <row r="191" spans="1:15" x14ac:dyDescent="0.3">
      <c r="A191" s="10" t="s">
        <v>251</v>
      </c>
      <c r="B191" s="40" t="s">
        <v>370</v>
      </c>
      <c r="C191" s="41"/>
      <c r="D191" s="41"/>
      <c r="E191" s="41"/>
      <c r="F191" s="41"/>
      <c r="G191" s="41"/>
      <c r="H191" s="41"/>
      <c r="I191" s="41"/>
      <c r="J191" s="41"/>
      <c r="K191" s="41"/>
      <c r="L191" s="41"/>
      <c r="M191" s="41"/>
      <c r="N191" s="41"/>
      <c r="O191" s="42"/>
    </row>
    <row r="192" spans="1:15" x14ac:dyDescent="0.3">
      <c r="A192" s="11" t="s">
        <v>252</v>
      </c>
      <c r="C192" s="5" t="s">
        <v>253</v>
      </c>
      <c r="O192" s="9"/>
    </row>
    <row r="193" spans="1:15" x14ac:dyDescent="0.3">
      <c r="A193" s="11" t="s">
        <v>255</v>
      </c>
      <c r="C193" s="5" t="s">
        <v>371</v>
      </c>
      <c r="D193" s="5"/>
      <c r="O193" s="9"/>
    </row>
    <row r="194" spans="1:15" x14ac:dyDescent="0.3">
      <c r="A194" s="11" t="s">
        <v>372</v>
      </c>
      <c r="C194" s="5" t="s">
        <v>373</v>
      </c>
      <c r="D194" s="5"/>
      <c r="O194" s="9"/>
    </row>
    <row r="195" spans="1:15" x14ac:dyDescent="0.3">
      <c r="A195" s="11" t="s">
        <v>363</v>
      </c>
      <c r="C195" s="5" t="s">
        <v>364</v>
      </c>
      <c r="O195" s="9"/>
    </row>
    <row r="196" spans="1:15" ht="16.2" thickBot="1" x14ac:dyDescent="0.35">
      <c r="A196" s="11" t="s">
        <v>374</v>
      </c>
      <c r="C196" s="5" t="s">
        <v>276</v>
      </c>
      <c r="O196" s="9"/>
    </row>
    <row r="197" spans="1:15" x14ac:dyDescent="0.3">
      <c r="A197" s="22" t="s">
        <v>375</v>
      </c>
      <c r="B197" s="6"/>
      <c r="C197" s="6"/>
      <c r="D197" s="6"/>
      <c r="E197" s="6"/>
      <c r="F197" s="6"/>
      <c r="G197" s="6"/>
      <c r="H197" s="6"/>
      <c r="I197" s="6"/>
      <c r="J197" s="6"/>
      <c r="K197" s="6"/>
      <c r="L197" s="6"/>
      <c r="M197" s="6"/>
      <c r="N197" s="6"/>
      <c r="O197" s="7"/>
    </row>
    <row r="198" spans="1:15" x14ac:dyDescent="0.3">
      <c r="A198" s="8" t="s">
        <v>259</v>
      </c>
      <c r="B198" s="1" t="s">
        <v>260</v>
      </c>
      <c r="O198" s="9"/>
    </row>
    <row r="199" spans="1:15" x14ac:dyDescent="0.3">
      <c r="A199" s="10" t="s">
        <v>251</v>
      </c>
      <c r="B199" s="40" t="s">
        <v>376</v>
      </c>
      <c r="C199" s="41"/>
      <c r="D199" s="41"/>
      <c r="E199" s="41"/>
      <c r="F199" s="41"/>
      <c r="G199" s="41"/>
      <c r="H199" s="41"/>
      <c r="I199" s="41"/>
      <c r="J199" s="41"/>
      <c r="K199" s="41"/>
      <c r="L199" s="41"/>
      <c r="M199" s="41"/>
      <c r="N199" s="41"/>
      <c r="O199" s="42"/>
    </row>
    <row r="200" spans="1:15" x14ac:dyDescent="0.3">
      <c r="A200" s="15"/>
      <c r="O200" s="9"/>
    </row>
    <row r="201" spans="1:15" x14ac:dyDescent="0.3">
      <c r="A201" s="11" t="s">
        <v>252</v>
      </c>
      <c r="C201" s="5" t="s">
        <v>253</v>
      </c>
      <c r="D201" s="5"/>
      <c r="O201" s="9"/>
    </row>
    <row r="202" spans="1:15" x14ac:dyDescent="0.3">
      <c r="A202" s="11" t="s">
        <v>377</v>
      </c>
      <c r="C202" s="5" t="s">
        <v>378</v>
      </c>
      <c r="D202" s="5"/>
      <c r="O202" s="9"/>
    </row>
    <row r="203" spans="1:15" x14ac:dyDescent="0.3">
      <c r="A203" s="11" t="s">
        <v>379</v>
      </c>
      <c r="C203" s="5" t="s">
        <v>380</v>
      </c>
      <c r="O203" s="9"/>
    </row>
    <row r="204" spans="1:15" x14ac:dyDescent="0.3">
      <c r="A204" s="11" t="s">
        <v>255</v>
      </c>
      <c r="C204" s="5" t="s">
        <v>381</v>
      </c>
      <c r="O204" s="9"/>
    </row>
    <row r="205" spans="1:15" ht="16.2" thickBot="1" x14ac:dyDescent="0.35">
      <c r="A205" s="11" t="s">
        <v>382</v>
      </c>
      <c r="C205" s="5" t="s">
        <v>383</v>
      </c>
      <c r="O205" s="9"/>
    </row>
    <row r="206" spans="1:15" x14ac:dyDescent="0.3">
      <c r="A206" s="22" t="s">
        <v>384</v>
      </c>
      <c r="B206" s="6"/>
      <c r="C206" s="6"/>
      <c r="D206" s="6"/>
      <c r="E206" s="6"/>
      <c r="F206" s="6"/>
      <c r="G206" s="6"/>
      <c r="H206" s="6"/>
      <c r="I206" s="6"/>
      <c r="J206" s="6"/>
      <c r="K206" s="6"/>
      <c r="L206" s="6"/>
      <c r="M206" s="6"/>
      <c r="N206" s="6"/>
      <c r="O206" s="7"/>
    </row>
    <row r="207" spans="1:15" x14ac:dyDescent="0.3">
      <c r="A207" s="8" t="s">
        <v>259</v>
      </c>
      <c r="B207" s="1" t="s">
        <v>260</v>
      </c>
      <c r="O207" s="9"/>
    </row>
    <row r="208" spans="1:15" x14ac:dyDescent="0.3">
      <c r="A208" s="10" t="s">
        <v>251</v>
      </c>
      <c r="B208" s="40" t="s">
        <v>294</v>
      </c>
      <c r="C208" s="41"/>
      <c r="D208" s="41"/>
      <c r="E208" s="41"/>
      <c r="F208" s="41"/>
      <c r="G208" s="41"/>
      <c r="H208" s="41"/>
      <c r="I208" s="41"/>
      <c r="J208" s="41"/>
      <c r="K208" s="41"/>
      <c r="L208" s="41"/>
      <c r="M208" s="41"/>
      <c r="N208" s="41"/>
      <c r="O208" s="42"/>
    </row>
    <row r="209" spans="1:15" x14ac:dyDescent="0.3">
      <c r="A209" s="11" t="s">
        <v>252</v>
      </c>
      <c r="C209" s="5" t="s">
        <v>253</v>
      </c>
      <c r="O209" s="9"/>
    </row>
    <row r="210" spans="1:15" x14ac:dyDescent="0.3">
      <c r="A210" s="11" t="s">
        <v>385</v>
      </c>
      <c r="C210" s="5" t="s">
        <v>386</v>
      </c>
      <c r="D210" s="5"/>
      <c r="O210" s="9"/>
    </row>
    <row r="211" spans="1:15" ht="16.2" thickBot="1" x14ac:dyDescent="0.35">
      <c r="A211" s="11" t="s">
        <v>255</v>
      </c>
      <c r="C211" s="5" t="s">
        <v>287</v>
      </c>
      <c r="D211" s="5"/>
      <c r="O211" s="9"/>
    </row>
    <row r="212" spans="1:15" x14ac:dyDescent="0.3">
      <c r="A212" s="22" t="s">
        <v>387</v>
      </c>
      <c r="B212" s="6"/>
      <c r="C212" s="6"/>
      <c r="D212" s="6"/>
      <c r="E212" s="6"/>
      <c r="F212" s="6"/>
      <c r="G212" s="6"/>
      <c r="H212" s="6"/>
      <c r="I212" s="6"/>
      <c r="J212" s="6"/>
      <c r="K212" s="6"/>
      <c r="L212" s="6"/>
      <c r="M212" s="6"/>
      <c r="N212" s="6"/>
      <c r="O212" s="7"/>
    </row>
    <row r="213" spans="1:15" x14ac:dyDescent="0.3">
      <c r="A213" s="8" t="s">
        <v>259</v>
      </c>
      <c r="B213" s="1" t="s">
        <v>260</v>
      </c>
      <c r="O213" s="9"/>
    </row>
    <row r="214" spans="1:15" x14ac:dyDescent="0.3">
      <c r="A214" s="10" t="s">
        <v>251</v>
      </c>
      <c r="B214" s="40" t="s">
        <v>388</v>
      </c>
      <c r="C214" s="41"/>
      <c r="D214" s="41"/>
      <c r="E214" s="41"/>
      <c r="F214" s="41"/>
      <c r="G214" s="41"/>
      <c r="H214" s="41"/>
      <c r="I214" s="41"/>
      <c r="J214" s="41"/>
      <c r="K214" s="41"/>
      <c r="L214" s="41"/>
      <c r="M214" s="41"/>
      <c r="N214" s="41"/>
      <c r="O214" s="42"/>
    </row>
    <row r="215" spans="1:15" x14ac:dyDescent="0.3">
      <c r="A215" s="11" t="s">
        <v>252</v>
      </c>
      <c r="C215" s="5" t="s">
        <v>253</v>
      </c>
      <c r="O215" s="9"/>
    </row>
    <row r="216" spans="1:15" x14ac:dyDescent="0.3">
      <c r="A216" s="11" t="s">
        <v>389</v>
      </c>
      <c r="C216" s="5" t="s">
        <v>390</v>
      </c>
      <c r="D216" s="5"/>
      <c r="O216" s="9"/>
    </row>
    <row r="217" spans="1:15" x14ac:dyDescent="0.3">
      <c r="A217" s="11" t="s">
        <v>255</v>
      </c>
      <c r="C217" s="5" t="s">
        <v>287</v>
      </c>
      <c r="D217" s="5"/>
      <c r="O217" s="9"/>
    </row>
    <row r="218" spans="1:15" ht="16.2" thickBot="1" x14ac:dyDescent="0.35">
      <c r="A218" s="11" t="s">
        <v>391</v>
      </c>
      <c r="C218" s="5" t="s">
        <v>392</v>
      </c>
      <c r="O218" s="9"/>
    </row>
    <row r="219" spans="1:15" x14ac:dyDescent="0.3">
      <c r="A219" s="22" t="s">
        <v>393</v>
      </c>
      <c r="B219" s="6"/>
      <c r="C219" s="6"/>
      <c r="D219" s="6"/>
      <c r="E219" s="6"/>
      <c r="F219" s="6"/>
      <c r="G219" s="6"/>
      <c r="H219" s="6"/>
      <c r="I219" s="6"/>
      <c r="J219" s="6"/>
      <c r="K219" s="6"/>
      <c r="L219" s="6"/>
      <c r="M219" s="6"/>
      <c r="N219" s="6"/>
      <c r="O219" s="7"/>
    </row>
    <row r="220" spans="1:15" x14ac:dyDescent="0.3">
      <c r="A220" s="8" t="s">
        <v>259</v>
      </c>
      <c r="B220" s="1" t="s">
        <v>260</v>
      </c>
      <c r="O220" s="9"/>
    </row>
    <row r="221" spans="1:15" x14ac:dyDescent="0.3">
      <c r="A221" s="10" t="s">
        <v>251</v>
      </c>
      <c r="B221" s="40" t="s">
        <v>294</v>
      </c>
      <c r="C221" s="41"/>
      <c r="D221" s="41"/>
      <c r="E221" s="41"/>
      <c r="F221" s="41"/>
      <c r="G221" s="41"/>
      <c r="H221" s="41"/>
      <c r="I221" s="41"/>
      <c r="J221" s="41"/>
      <c r="K221" s="41"/>
      <c r="L221" s="41"/>
      <c r="M221" s="41"/>
      <c r="N221" s="41"/>
      <c r="O221" s="42"/>
    </row>
    <row r="222" spans="1:15" x14ac:dyDescent="0.3">
      <c r="A222" s="11" t="s">
        <v>252</v>
      </c>
      <c r="C222" s="5" t="s">
        <v>253</v>
      </c>
      <c r="O222" s="9"/>
    </row>
    <row r="223" spans="1:15" x14ac:dyDescent="0.3">
      <c r="A223" s="11" t="s">
        <v>280</v>
      </c>
      <c r="C223" s="5" t="s">
        <v>276</v>
      </c>
      <c r="D223" s="5"/>
      <c r="O223" s="9"/>
    </row>
    <row r="224" spans="1:15" x14ac:dyDescent="0.3">
      <c r="A224" s="11" t="s">
        <v>281</v>
      </c>
      <c r="C224" s="5" t="s">
        <v>394</v>
      </c>
      <c r="D224" s="5"/>
      <c r="O224" s="9"/>
    </row>
    <row r="225" spans="1:15" ht="16.2" thickBot="1" x14ac:dyDescent="0.35">
      <c r="A225" s="12" t="s">
        <v>255</v>
      </c>
      <c r="B225" s="2"/>
      <c r="C225" s="13" t="s">
        <v>283</v>
      </c>
      <c r="D225" s="2"/>
      <c r="E225" s="2"/>
      <c r="F225" s="2"/>
      <c r="G225" s="2"/>
      <c r="H225" s="2"/>
      <c r="I225" s="2"/>
      <c r="J225" s="2"/>
      <c r="K225" s="2"/>
      <c r="L225" s="2"/>
      <c r="M225" s="2"/>
      <c r="N225" s="2"/>
      <c r="O225" s="14"/>
    </row>
    <row r="226" spans="1:15" x14ac:dyDescent="0.3">
      <c r="A226" s="22" t="s">
        <v>395</v>
      </c>
      <c r="B226" s="6"/>
      <c r="C226" s="6"/>
      <c r="D226" s="6"/>
      <c r="E226" s="6"/>
      <c r="F226" s="6"/>
      <c r="G226" s="6"/>
      <c r="H226" s="6"/>
      <c r="I226" s="6"/>
      <c r="J226" s="6"/>
      <c r="K226" s="6"/>
      <c r="L226" s="6"/>
      <c r="M226" s="6"/>
      <c r="N226" s="6"/>
      <c r="O226" s="7"/>
    </row>
    <row r="227" spans="1:15" x14ac:dyDescent="0.3">
      <c r="A227" s="1" t="s">
        <v>259</v>
      </c>
      <c r="B227" s="1" t="s">
        <v>260</v>
      </c>
      <c r="O227" s="9"/>
    </row>
    <row r="228" spans="1:15" x14ac:dyDescent="0.3">
      <c r="A228" s="10" t="s">
        <v>251</v>
      </c>
      <c r="B228" s="40" t="s">
        <v>396</v>
      </c>
      <c r="C228" s="41"/>
      <c r="D228" s="41"/>
      <c r="E228" s="41"/>
      <c r="F228" s="41"/>
      <c r="G228" s="41"/>
      <c r="H228" s="41"/>
      <c r="I228" s="41"/>
      <c r="J228" s="41"/>
      <c r="K228" s="41"/>
      <c r="L228" s="41"/>
      <c r="M228" s="41"/>
      <c r="N228" s="41"/>
      <c r="O228" s="42"/>
    </row>
    <row r="229" spans="1:15" x14ac:dyDescent="0.3">
      <c r="A229" s="11" t="s">
        <v>252</v>
      </c>
      <c r="C229" s="5" t="s">
        <v>253</v>
      </c>
      <c r="F229" s="11" t="s">
        <v>397</v>
      </c>
      <c r="O229" s="9"/>
    </row>
    <row r="230" spans="1:15" x14ac:dyDescent="0.3">
      <c r="A230" s="11" t="s">
        <v>398</v>
      </c>
      <c r="C230" s="5" t="s">
        <v>399</v>
      </c>
      <c r="F230" s="5" t="s">
        <v>400</v>
      </c>
      <c r="O230" s="9"/>
    </row>
    <row r="231" spans="1:15" x14ac:dyDescent="0.3">
      <c r="A231" s="11" t="s">
        <v>309</v>
      </c>
      <c r="C231" s="5" t="s">
        <v>276</v>
      </c>
      <c r="D231" s="5"/>
      <c r="F231" s="5" t="s">
        <v>401</v>
      </c>
      <c r="O231" s="9"/>
    </row>
    <row r="232" spans="1:15" x14ac:dyDescent="0.3">
      <c r="A232" s="11" t="s">
        <v>281</v>
      </c>
      <c r="C232" s="5" t="s">
        <v>394</v>
      </c>
      <c r="D232" s="5"/>
      <c r="F232" s="36" t="s">
        <v>402</v>
      </c>
      <c r="O232" s="9"/>
    </row>
    <row r="233" spans="1:15" ht="16.2" thickBot="1" x14ac:dyDescent="0.35">
      <c r="A233" s="12" t="s">
        <v>255</v>
      </c>
      <c r="B233" s="2"/>
      <c r="C233" s="13" t="s">
        <v>287</v>
      </c>
      <c r="D233" s="2"/>
      <c r="E233" s="2"/>
      <c r="F233" s="2"/>
      <c r="G233" s="2"/>
      <c r="H233" s="2"/>
      <c r="I233" s="2"/>
      <c r="J233" s="2"/>
      <c r="K233" s="2"/>
      <c r="L233" s="2"/>
      <c r="M233" s="2"/>
      <c r="N233" s="2"/>
      <c r="O233" s="14"/>
    </row>
    <row r="234" spans="1:15" x14ac:dyDescent="0.3">
      <c r="A234" t="s">
        <v>403</v>
      </c>
    </row>
    <row r="235" spans="1:15" x14ac:dyDescent="0.3">
      <c r="A235" s="31" t="s">
        <v>259</v>
      </c>
      <c r="B235" s="31" t="s">
        <v>260</v>
      </c>
    </row>
    <row r="236" spans="1:15" x14ac:dyDescent="0.3">
      <c r="A236" s="11" t="s">
        <v>252</v>
      </c>
      <c r="C236" t="s">
        <v>253</v>
      </c>
    </row>
    <row r="237" spans="1:15" x14ac:dyDescent="0.3">
      <c r="A237" s="11" t="s">
        <v>281</v>
      </c>
    </row>
    <row r="238" spans="1:15" x14ac:dyDescent="0.3">
      <c r="A238" s="12" t="s">
        <v>255</v>
      </c>
    </row>
  </sheetData>
  <mergeCells count="33">
    <mergeCell ref="B228:O228"/>
    <mergeCell ref="B208:O208"/>
    <mergeCell ref="B214:O214"/>
    <mergeCell ref="B221:O221"/>
    <mergeCell ref="B159:O159"/>
    <mergeCell ref="B165:O165"/>
    <mergeCell ref="B171:O171"/>
    <mergeCell ref="B177:O177"/>
    <mergeCell ref="B183:O183"/>
    <mergeCell ref="B191:O191"/>
    <mergeCell ref="B133:O133"/>
    <mergeCell ref="B138:O138"/>
    <mergeCell ref="B145:O145"/>
    <mergeCell ref="B152:O152"/>
    <mergeCell ref="B199:O199"/>
    <mergeCell ref="B103:O103"/>
    <mergeCell ref="B108:O108"/>
    <mergeCell ref="B115:O115"/>
    <mergeCell ref="B120:O120"/>
    <mergeCell ref="B128:O128"/>
    <mergeCell ref="B70:O70"/>
    <mergeCell ref="B83:O83"/>
    <mergeCell ref="B90:O90"/>
    <mergeCell ref="B98:O98"/>
    <mergeCell ref="B42:O42"/>
    <mergeCell ref="B49:O49"/>
    <mergeCell ref="B60:O60"/>
    <mergeCell ref="B65:O65"/>
    <mergeCell ref="B15:O15"/>
    <mergeCell ref="B18:O18"/>
    <mergeCell ref="B24:O24"/>
    <mergeCell ref="B30:O30"/>
    <mergeCell ref="B36:O36"/>
  </mergeCells>
  <hyperlinks>
    <hyperlink ref="B14" r:id="rId1" xr:uid="{EC1511F6-9619-4293-AD36-C91365B9158C}"/>
    <hyperlink ref="A14" r:id="rId2" xr:uid="{BFE9C710-7190-46C5-880C-5B359CEA60E9}"/>
    <hyperlink ref="A17" r:id="rId3" xr:uid="{6F7A8A49-BC8B-4BC7-B7B4-0EF4DBBAD201}"/>
    <hyperlink ref="B17" r:id="rId4" xr:uid="{B67C12D8-9A11-4A74-B002-6251E71FEA68}"/>
    <hyperlink ref="A23" r:id="rId5" xr:uid="{825AB95D-0D9A-45C9-AD4D-C2735EDD7245}"/>
    <hyperlink ref="B23" r:id="rId6" xr:uid="{16D65181-5D01-49F5-8D33-45C57E4F2E9D}"/>
    <hyperlink ref="A29" r:id="rId7" xr:uid="{E2CD5CA2-00BB-47D8-BE19-CFB04873E5BD}"/>
    <hyperlink ref="B29" r:id="rId8" xr:uid="{377612A3-47B1-4367-A4E7-B32E6314BFF3}"/>
    <hyperlink ref="A35" r:id="rId9" xr:uid="{4FD40020-2730-46D0-81BE-A916C1A957F4}"/>
    <hyperlink ref="B35" r:id="rId10" xr:uid="{A8592C03-DB27-4A86-A0B1-A4BF8DB4296C}"/>
    <hyperlink ref="A41" r:id="rId11" xr:uid="{76F10E4A-3775-40C9-A148-DB6611F7899A}"/>
    <hyperlink ref="B41" r:id="rId12" xr:uid="{00E7AA13-16A3-4901-A04A-EF22B21282BB}"/>
    <hyperlink ref="A48" r:id="rId13" xr:uid="{55E6ADC9-7B83-4F63-A075-9F63E210317A}"/>
    <hyperlink ref="B48" r:id="rId14" xr:uid="{A035D2A6-CDB9-476B-8E17-73AFB837BD86}"/>
    <hyperlink ref="A53" r:id="rId15" xr:uid="{C933ECDF-4DAF-41D9-BC3A-92FA94E7EC29}"/>
    <hyperlink ref="B53" r:id="rId16" xr:uid="{E3AFAC9F-7AC6-4A2A-A2DD-7D842FBF8339}"/>
    <hyperlink ref="A59" r:id="rId17" xr:uid="{F07E58D6-10E2-4B91-894D-BBF754689D35}"/>
    <hyperlink ref="B59" r:id="rId18" xr:uid="{7F900F5D-3A4E-45EF-9C0B-8247B8AE6E5F}"/>
    <hyperlink ref="A64" r:id="rId19" xr:uid="{3FF1C60C-049C-45D3-B5BA-D20CC70861E7}"/>
    <hyperlink ref="B64" r:id="rId20" xr:uid="{45DFC8CA-EC56-42B1-9FE1-FF81EBD6B760}"/>
    <hyperlink ref="A69" r:id="rId21" xr:uid="{91A3C3EF-40B8-4ECA-93B8-9A8DBEB73124}"/>
    <hyperlink ref="B69" r:id="rId22" xr:uid="{16B6854A-A93D-455A-9B9E-EA26D8A9CD49}"/>
    <hyperlink ref="A76" r:id="rId23" xr:uid="{7DED82CB-9BC8-42A1-B616-6FD900734DD3}"/>
    <hyperlink ref="B76" r:id="rId24" xr:uid="{0BFAAA9C-AB6A-420F-B0F5-C07B1CC6F702}"/>
    <hyperlink ref="A82" r:id="rId25" xr:uid="{CDE1E3D1-3173-449F-AFB0-118D19F4EC9F}"/>
    <hyperlink ref="B82" r:id="rId26" xr:uid="{90D53258-4036-4AD5-B394-715E4BB2D7D1}"/>
    <hyperlink ref="A89" r:id="rId27" xr:uid="{8DB84743-4CE7-46C6-A801-1C322FBE58C3}"/>
    <hyperlink ref="B89" r:id="rId28" xr:uid="{2EF4673F-25E9-419D-A8E9-736E825F2DF7}"/>
    <hyperlink ref="A97" r:id="rId29" xr:uid="{EBE8DF65-7C81-48FA-8A58-E98ED71B5D5C}"/>
    <hyperlink ref="B97" r:id="rId30" xr:uid="{2150215A-49A0-48B5-A1F3-64201FFCB50C}"/>
    <hyperlink ref="A102" r:id="rId31" xr:uid="{197AFC0D-9636-413F-A4BB-33A07BF15566}"/>
    <hyperlink ref="B102" r:id="rId32" xr:uid="{3E8D3BB7-FA5E-4274-8363-5E80232BE41E}"/>
    <hyperlink ref="A107" r:id="rId33" xr:uid="{B38CEB96-F4FB-43F8-87EF-563BAE24C00F}"/>
    <hyperlink ref="B107" r:id="rId34" xr:uid="{74DFBB28-0476-4005-9478-7CE47E9E8E7A}"/>
    <hyperlink ref="A114" r:id="rId35" xr:uid="{F04965BB-62E7-43DC-8E14-7F7679D09F94}"/>
    <hyperlink ref="B114" r:id="rId36" xr:uid="{2BA9577D-3423-497E-AD1C-56151376FBDC}"/>
    <hyperlink ref="A119" r:id="rId37" xr:uid="{9E544260-09F8-4B3D-8177-0B944E8FE1D1}"/>
    <hyperlink ref="B119" r:id="rId38" xr:uid="{40F5F8C9-C4EB-48D5-AB87-F59A6DA7EAA1}"/>
    <hyperlink ref="A127" r:id="rId39" xr:uid="{7D0BA003-2086-4DFE-897D-36CDD7061A03}"/>
    <hyperlink ref="B127" r:id="rId40" xr:uid="{3556F712-617A-482A-9E2F-DCFDAD64CE70}"/>
    <hyperlink ref="A132" r:id="rId41" xr:uid="{C9C87CD5-B2FB-451E-96D7-990A92C72ABD}"/>
    <hyperlink ref="B132" r:id="rId42" xr:uid="{53465C54-C5A3-4ABD-8858-C7A639528C67}"/>
    <hyperlink ref="A137" r:id="rId43" xr:uid="{F00424D9-EC44-4F44-8D8B-BC340821A4E4}"/>
    <hyperlink ref="B137" r:id="rId44" xr:uid="{240C0444-3BEA-48F0-AE5C-93DC1EAD9FAE}"/>
    <hyperlink ref="A144" r:id="rId45" xr:uid="{DEB2E898-5892-4DFA-AED9-1CB9184E1318}"/>
    <hyperlink ref="B144" r:id="rId46" xr:uid="{9F218F8A-3ED3-4A80-A966-36364550FCE0}"/>
    <hyperlink ref="A151" r:id="rId47" xr:uid="{8186D228-A3C7-4FF6-934F-7B396AF93BF7}"/>
    <hyperlink ref="B151" r:id="rId48" xr:uid="{A2C4682E-11FA-4832-821A-252F15B7CDDC}"/>
    <hyperlink ref="A158" r:id="rId49" xr:uid="{BB1F3D1B-6AEC-464F-A264-7CCCD5A03973}"/>
    <hyperlink ref="B158" r:id="rId50" xr:uid="{E0866120-755C-4EC5-87C6-EBBF5D660F5E}"/>
    <hyperlink ref="A164" r:id="rId51" xr:uid="{6BC46773-24D6-44A3-9F49-428DC90FA3A5}"/>
    <hyperlink ref="B164" r:id="rId52" xr:uid="{C8ACCA64-0FDA-4AE7-97B3-11880DDA11B9}"/>
    <hyperlink ref="A170" r:id="rId53" xr:uid="{4016F466-BDEC-49E5-A2AF-CD4415DA4855}"/>
    <hyperlink ref="B170" r:id="rId54" xr:uid="{D5A9F675-7796-417E-8167-8E02781C9DE5}"/>
    <hyperlink ref="A176" r:id="rId55" xr:uid="{CD60909E-02C0-48C3-A93E-8B4846E7F02A}"/>
    <hyperlink ref="B176" r:id="rId56" xr:uid="{DC4C76B5-242A-4246-8672-786759511F3F}"/>
    <hyperlink ref="A182" r:id="rId57" xr:uid="{BF205981-3FBE-4376-94D3-7E157506D738}"/>
    <hyperlink ref="B182" r:id="rId58" xr:uid="{3946AA48-F820-4492-8C75-45C211FC5462}"/>
    <hyperlink ref="A190" r:id="rId59" xr:uid="{6C93F1AC-4F8A-4764-8407-9B2EE7D64A91}"/>
    <hyperlink ref="B190" r:id="rId60" xr:uid="{031C8F41-18C3-4DF9-8C21-F545E5A4720D}"/>
    <hyperlink ref="A198" r:id="rId61" xr:uid="{F737C761-F83E-4F60-87F3-763B0AAE5795}"/>
    <hyperlink ref="B198" r:id="rId62" xr:uid="{7DE5BFAE-1E03-45BF-B700-664BB235DC18}"/>
    <hyperlink ref="A207" r:id="rId63" xr:uid="{2819970D-A126-4230-A40E-309C988DE1D3}"/>
    <hyperlink ref="B207" r:id="rId64" xr:uid="{E7E12246-3EF2-4EB2-BFB4-38B08C465ED8}"/>
    <hyperlink ref="A213" r:id="rId65" xr:uid="{69D2A0D8-B714-4C6F-9F37-12B3C8D7AE0E}"/>
    <hyperlink ref="B213" r:id="rId66" xr:uid="{ADCACF93-4B56-4B50-9C7C-B793666184D7}"/>
    <hyperlink ref="A220" r:id="rId67" xr:uid="{F1C570D9-99C0-4FF1-A79E-BBA0BBBF6DC3}"/>
    <hyperlink ref="B220" r:id="rId68" xr:uid="{995DD76F-7E43-4725-B18B-125868F6802F}"/>
    <hyperlink ref="A2" r:id="rId69" display="https://data-explorer.oecd.org/vis?lc=en&amp;fs[0]=Topic%2C1%7CEconomy%23ECO%23%7CShort-term%20economic%20statistics%23ECO_STS%23&amp;pg=0&amp;fc=Topic&amp;bp=true&amp;snb=21&amp;df[ds]=dsDisseminateFinalDMZ&amp;df[id]=DSD_KEI%40DF_KEI&amp;df[ag]=OECD.SDD.STES&amp;df[vs]=4.0&amp;pd=2014%2C2021&amp;dq=.A.CP.GR%2BIX._Z..&amp;ly[rw]=REF_AREA&amp;ly[cl]=TIME_PERIOD&amp;to[TIME_PERIOD]=false&amp;vw=tb" xr:uid="{58B730EA-F7FB-4CAA-8956-FDE710627BE0}"/>
    <hyperlink ref="A227" r:id="rId70" xr:uid="{3E47FCC2-6365-4A90-9DAC-5728CDB0F637}"/>
    <hyperlink ref="B227" r:id="rId71" xr:uid="{AEE840B0-332E-4F95-B23C-3B8512784C03}"/>
    <hyperlink ref="A235" r:id="rId72" display="https://hdr.undp.org/sites/default/files/2023-24_HDR/HDR23-24_Composite_indices_complete_time_series.csv" xr:uid="{9D5BC6C7-9968-4723-AE76-DF4A37F23360}"/>
    <hyperlink ref="B235" r:id="rId73" display="https://hdr.undp.org/data-center/documentation-and-downloads" xr:uid="{E4080529-A4F1-4C5C-A2F9-904442AE957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INDEX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Francesca PIAZZA</dc:creator>
  <cp:keywords/>
  <dc:description/>
  <cp:lastModifiedBy>napo25andre@gmail.com</cp:lastModifiedBy>
  <cp:revision/>
  <dcterms:created xsi:type="dcterms:W3CDTF">2015-09-29T15:34:00Z</dcterms:created>
  <dcterms:modified xsi:type="dcterms:W3CDTF">2024-05-29T15:47:29Z</dcterms:modified>
  <cp:category/>
  <cp:contentStatus/>
</cp:coreProperties>
</file>